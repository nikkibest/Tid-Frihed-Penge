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f364afe123e12d/Ymisk papírir/Niklas'sPengetips/"/>
    </mc:Choice>
  </mc:AlternateContent>
  <xr:revisionPtr revIDLastSave="573" documentId="8_{D14FCAEE-76AD-4B99-AE9C-FEFB3C951D6E}" xr6:coauthVersionLast="47" xr6:coauthVersionMax="47" xr10:uidLastSave="{ABC19B0E-DFE5-4162-9ECA-3CB9CAC64DDA}"/>
  <bookViews>
    <workbookView xWindow="-120" yWindow="-120" windowWidth="29040" windowHeight="15840" xr2:uid="{58DA1548-0EBD-48E4-BFC7-998923818ACA}"/>
  </bookViews>
  <sheets>
    <sheet name="DiverseKontoer" sheetId="1" r:id="rId1"/>
  </sheets>
  <definedNames>
    <definedName name="ASK_Nordnet">DiverseKontoer!$AU$28:INDEX(DiverseKontoer!$AU$28:$AU$78,COUNT(DiverseKontoer!$AU$28:$AU$78))</definedName>
    <definedName name="ASK_Saxo">DiverseKontoer!$AR$28:INDEX(DiverseKontoer!$AR$28:$AR$78,COUNT(DiverseKontoer!$AR$28:$AR$78))</definedName>
    <definedName name="EnkeltAktier_Saxo">DiverseKontoer!$BA$28:INDEX(DiverseKontoer!$BA$28:$BA$78,COUNT(DiverseKontoer!$BA$28:$BA$78))</definedName>
    <definedName name="Indskud">OFFSET(DiverseKontoer!$AO$28,,,COUNTIF(DiverseKontoer!$AO$28:$AO$78,"&lt;&gt;"))</definedName>
    <definedName name="Månedsopsparing">DiverseKontoer!$AX$28:INDEX(DiverseKontoer!$AX$28:$AX$78,COUNT(DiverseKontoer!$AX$28:$AX$78))</definedName>
    <definedName name="Years">OFFSET(DiverseKontoer!$AN$28,,,COUNTIF(DiverseKontoer!$AN$28:$AN$78,"&lt;&gt;"))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3" i="1" l="1"/>
  <c r="V98" i="1"/>
  <c r="V97" i="1"/>
  <c r="V96" i="1"/>
  <c r="V93" i="1"/>
  <c r="V92" i="1"/>
  <c r="H93" i="1"/>
  <c r="H92" i="1"/>
  <c r="W91" i="1"/>
  <c r="V91" i="1"/>
  <c r="W90" i="1"/>
  <c r="V90" i="1"/>
  <c r="V89" i="1"/>
  <c r="V88" i="1"/>
  <c r="V87" i="1"/>
  <c r="W94" i="1" s="1"/>
  <c r="V86" i="1"/>
  <c r="W96" i="1" s="1"/>
  <c r="A31" i="1" l="1"/>
  <c r="I91" i="1"/>
  <c r="H91" i="1"/>
  <c r="I90" i="1"/>
  <c r="H90" i="1"/>
  <c r="H87" i="1"/>
  <c r="H98" i="1"/>
  <c r="H97" i="1"/>
  <c r="H96" i="1"/>
  <c r="H94" i="1"/>
  <c r="H89" i="1"/>
  <c r="H88" i="1"/>
  <c r="H86" i="1"/>
  <c r="I96" i="1" s="1"/>
  <c r="A29" i="1"/>
  <c r="V25" i="1"/>
  <c r="V24" i="1"/>
  <c r="V23" i="1"/>
  <c r="H25" i="1"/>
  <c r="H24" i="1"/>
  <c r="H23" i="1"/>
  <c r="W18" i="1"/>
  <c r="V18" i="1"/>
  <c r="V14" i="1"/>
  <c r="W21" i="1" s="1"/>
  <c r="V13" i="1"/>
  <c r="W23" i="1" s="1"/>
  <c r="H13" i="1"/>
  <c r="I23" i="1" s="1"/>
  <c r="H14" i="1"/>
  <c r="H29" i="1" s="1"/>
  <c r="H102" i="1" s="1"/>
  <c r="V102" i="1" s="1"/>
  <c r="W102" i="1" s="1"/>
  <c r="I18" i="1"/>
  <c r="I17" i="1"/>
  <c r="H17" i="1"/>
  <c r="H19" i="1"/>
  <c r="H18" i="1"/>
  <c r="H20" i="1"/>
  <c r="AN28" i="1" a="1"/>
  <c r="AN28" i="1" s="1"/>
  <c r="AQ78" i="1"/>
  <c r="AO27" i="1"/>
  <c r="H16" i="1"/>
  <c r="V16" i="1"/>
  <c r="H21" i="1"/>
  <c r="AN27" i="1"/>
  <c r="V15" i="1"/>
  <c r="H15" i="1"/>
  <c r="A32" i="1"/>
  <c r="A30" i="1"/>
  <c r="V21" i="1"/>
  <c r="H28" i="1" l="1"/>
  <c r="I21" i="1"/>
  <c r="J29" i="1" s="1"/>
  <c r="I94" i="1"/>
  <c r="J102" i="1" s="1"/>
  <c r="V29" i="1"/>
  <c r="W29" i="1" s="1"/>
  <c r="I29" i="1" l="1"/>
  <c r="H101" i="1"/>
  <c r="V28" i="1"/>
  <c r="W28" i="1" s="1"/>
  <c r="I28" i="1"/>
  <c r="J28" i="1"/>
  <c r="K28" i="1" s="1"/>
  <c r="L28" i="1" s="1"/>
  <c r="V101" i="1" l="1"/>
  <c r="W101" i="1" s="1"/>
  <c r="X101" i="1" s="1"/>
  <c r="Y101" i="1" s="1"/>
  <c r="J101" i="1"/>
  <c r="K101" i="1" s="1"/>
  <c r="L101" i="1" s="1"/>
  <c r="M101" i="1" s="1"/>
  <c r="N101" i="1" s="1"/>
  <c r="O101" i="1" s="1"/>
  <c r="I101" i="1"/>
  <c r="I102" i="1"/>
  <c r="X28" i="1"/>
  <c r="Y28" i="1" s="1"/>
  <c r="AA28" i="1" s="1"/>
  <c r="M28" i="1"/>
  <c r="N28" i="1" s="1"/>
  <c r="O28" i="1" s="1"/>
  <c r="K102" i="1" l="1"/>
  <c r="L102" i="1" s="1"/>
  <c r="M102" i="1" s="1"/>
  <c r="AA101" i="1"/>
  <c r="Z101" i="1"/>
  <c r="P101" i="1"/>
  <c r="Z28" i="1"/>
  <c r="AB28" i="1" s="1"/>
  <c r="P28" i="1"/>
  <c r="K29" i="1"/>
  <c r="N102" i="1"/>
  <c r="O102" i="1" s="1"/>
  <c r="AB101" i="1" l="1"/>
  <c r="AE101" i="1" s="1"/>
  <c r="AE28" i="1"/>
  <c r="AC28" i="1"/>
  <c r="AD28" i="1" s="1"/>
  <c r="X29" i="1"/>
  <c r="Y29" i="1" s="1"/>
  <c r="P102" i="1"/>
  <c r="X102" i="1" l="1"/>
  <c r="Y102" i="1" s="1"/>
  <c r="AG28" i="1"/>
  <c r="AF28" i="1"/>
  <c r="AC101" i="1"/>
  <c r="AA29" i="1"/>
  <c r="Z29" i="1"/>
  <c r="Z102" i="1" l="1"/>
  <c r="AH28" i="1"/>
  <c r="AD101" i="1"/>
  <c r="AA102" i="1"/>
  <c r="AB29" i="1"/>
  <c r="AB102" i="1" l="1"/>
  <c r="AE102" i="1" s="1"/>
  <c r="AF101" i="1"/>
  <c r="AG101" i="1"/>
  <c r="AE29" i="1"/>
  <c r="AC29" i="1"/>
  <c r="AC102" i="1" l="1"/>
  <c r="AD102" i="1"/>
  <c r="AD29" i="1"/>
  <c r="AF29" i="1" l="1"/>
  <c r="AG29" i="1"/>
  <c r="AF102" i="1"/>
  <c r="AG102" i="1"/>
  <c r="AH29" i="1" l="1"/>
  <c r="AZ78" i="1" l="1"/>
  <c r="AW78" i="1" l="1"/>
  <c r="L29" i="1" l="1"/>
  <c r="M29" i="1" s="1"/>
  <c r="N29" i="1" s="1"/>
  <c r="H30" i="1" l="1"/>
  <c r="V30" i="1" s="1"/>
  <c r="O29" i="1"/>
  <c r="P29" i="1" s="1"/>
  <c r="J30" i="1" l="1"/>
  <c r="K30" i="1" s="1"/>
  <c r="L30" i="1" s="1"/>
  <c r="H103" i="1"/>
  <c r="W30" i="1"/>
  <c r="X30" i="1" s="1"/>
  <c r="Y30" i="1" s="1"/>
  <c r="I30" i="1"/>
  <c r="M30" i="1"/>
  <c r="N30" i="1" s="1"/>
  <c r="V103" i="1" l="1"/>
  <c r="W103" i="1" s="1"/>
  <c r="X103" i="1" s="1"/>
  <c r="Y103" i="1" s="1"/>
  <c r="J103" i="1"/>
  <c r="K103" i="1" s="1"/>
  <c r="L103" i="1" s="1"/>
  <c r="I103" i="1"/>
  <c r="H31" i="1"/>
  <c r="O30" i="1"/>
  <c r="P30" i="1" s="1"/>
  <c r="AA30" i="1"/>
  <c r="Z30" i="1"/>
  <c r="J31" i="1" l="1"/>
  <c r="K31" i="1" s="1"/>
  <c r="L31" i="1" s="1"/>
  <c r="M31" i="1" s="1"/>
  <c r="N31" i="1" s="1"/>
  <c r="H104" i="1"/>
  <c r="M103" i="1"/>
  <c r="N103" i="1" s="1"/>
  <c r="I31" i="1"/>
  <c r="Z103" i="1"/>
  <c r="AA103" i="1"/>
  <c r="V31" i="1"/>
  <c r="W31" i="1" s="1"/>
  <c r="AB30" i="1"/>
  <c r="O103" i="1" l="1"/>
  <c r="P103" i="1" s="1"/>
  <c r="J104" i="1"/>
  <c r="K104" i="1" s="1"/>
  <c r="L104" i="1" s="1"/>
  <c r="V104" i="1"/>
  <c r="W104" i="1" s="1"/>
  <c r="I104" i="1"/>
  <c r="AB103" i="1"/>
  <c r="H32" i="1"/>
  <c r="V32" i="1" s="1"/>
  <c r="W32" i="1" s="1"/>
  <c r="O31" i="1"/>
  <c r="P31" i="1" s="1"/>
  <c r="X31" i="1"/>
  <c r="AE30" i="1"/>
  <c r="AC30" i="1"/>
  <c r="Y31" i="1"/>
  <c r="AC103" i="1" l="1"/>
  <c r="AE103" i="1"/>
  <c r="X104" i="1"/>
  <c r="Y104" i="1" s="1"/>
  <c r="M104" i="1"/>
  <c r="N104" i="1"/>
  <c r="I32" i="1"/>
  <c r="J32" i="1"/>
  <c r="K32" i="1" s="1"/>
  <c r="L32" i="1" s="1"/>
  <c r="M32" i="1" s="1"/>
  <c r="N32" i="1" s="1"/>
  <c r="H105" i="1"/>
  <c r="AD30" i="1"/>
  <c r="Z31" i="1"/>
  <c r="AA31" i="1"/>
  <c r="AD103" i="1" l="1"/>
  <c r="O104" i="1"/>
  <c r="P104" i="1" s="1"/>
  <c r="AA104" i="1"/>
  <c r="Z104" i="1"/>
  <c r="V105" i="1"/>
  <c r="W105" i="1" s="1"/>
  <c r="J105" i="1"/>
  <c r="K105" i="1" s="1"/>
  <c r="L105" i="1" s="1"/>
  <c r="I105" i="1"/>
  <c r="AG30" i="1"/>
  <c r="AF30" i="1"/>
  <c r="H33" i="1"/>
  <c r="O32" i="1"/>
  <c r="P32" i="1" s="1"/>
  <c r="AB31" i="1"/>
  <c r="AH30" i="1" l="1"/>
  <c r="AB104" i="1"/>
  <c r="AC104" i="1" s="1"/>
  <c r="J33" i="1"/>
  <c r="K33" i="1" s="1"/>
  <c r="L33" i="1" s="1"/>
  <c r="M33" i="1" s="1"/>
  <c r="N33" i="1" s="1"/>
  <c r="H106" i="1"/>
  <c r="M105" i="1"/>
  <c r="N105" i="1"/>
  <c r="AF103" i="1"/>
  <c r="AG103" i="1"/>
  <c r="I33" i="1"/>
  <c r="V33" i="1"/>
  <c r="W33" i="1" s="1"/>
  <c r="AE31" i="1"/>
  <c r="AC31" i="1"/>
  <c r="X32" i="1"/>
  <c r="Y32" i="1" s="1"/>
  <c r="X105" i="1" l="1"/>
  <c r="Y105" i="1" s="1"/>
  <c r="AE104" i="1"/>
  <c r="AD104" i="1"/>
  <c r="O105" i="1"/>
  <c r="P105" i="1" s="1"/>
  <c r="J106" i="1"/>
  <c r="K106" i="1" s="1"/>
  <c r="L106" i="1" s="1"/>
  <c r="V106" i="1"/>
  <c r="W106" i="1" s="1"/>
  <c r="I106" i="1"/>
  <c r="AA105" i="1"/>
  <c r="Z105" i="1"/>
  <c r="H34" i="1"/>
  <c r="O33" i="1"/>
  <c r="P33" i="1" s="1"/>
  <c r="AD31" i="1"/>
  <c r="Z32" i="1"/>
  <c r="AA32" i="1"/>
  <c r="AB105" i="1" l="1"/>
  <c r="AE105" i="1"/>
  <c r="X106" i="1"/>
  <c r="AC105" i="1"/>
  <c r="AD105" i="1" s="1"/>
  <c r="J34" i="1"/>
  <c r="K34" i="1" s="1"/>
  <c r="L34" i="1" s="1"/>
  <c r="M34" i="1" s="1"/>
  <c r="N34" i="1" s="1"/>
  <c r="H107" i="1"/>
  <c r="M106" i="1"/>
  <c r="N106" i="1" s="1"/>
  <c r="AG104" i="1"/>
  <c r="AF104" i="1"/>
  <c r="AF31" i="1"/>
  <c r="AG31" i="1"/>
  <c r="AH31" i="1" s="1"/>
  <c r="I34" i="1"/>
  <c r="V34" i="1"/>
  <c r="W34" i="1" s="1"/>
  <c r="AB32" i="1"/>
  <c r="O106" i="1" l="1"/>
  <c r="P106" i="1" s="1"/>
  <c r="AG105" i="1"/>
  <c r="AF105" i="1"/>
  <c r="Y106" i="1"/>
  <c r="J107" i="1"/>
  <c r="K107" i="1" s="1"/>
  <c r="L107" i="1" s="1"/>
  <c r="V107" i="1"/>
  <c r="W107" i="1" s="1"/>
  <c r="I107" i="1"/>
  <c r="H35" i="1"/>
  <c r="O34" i="1"/>
  <c r="P34" i="1" s="1"/>
  <c r="AE32" i="1"/>
  <c r="X33" i="1"/>
  <c r="Y33" i="1" s="1"/>
  <c r="AC32" i="1"/>
  <c r="M107" i="1" l="1"/>
  <c r="N107" i="1" s="1"/>
  <c r="J35" i="1"/>
  <c r="K35" i="1" s="1"/>
  <c r="L35" i="1" s="1"/>
  <c r="M35" i="1" s="1"/>
  <c r="N35" i="1" s="1"/>
  <c r="H108" i="1"/>
  <c r="Z106" i="1"/>
  <c r="AA106" i="1"/>
  <c r="V35" i="1"/>
  <c r="W35" i="1" s="1"/>
  <c r="I35" i="1"/>
  <c r="AD32" i="1"/>
  <c r="Z33" i="1"/>
  <c r="AA33" i="1"/>
  <c r="AB106" i="1" l="1"/>
  <c r="O107" i="1"/>
  <c r="P107" i="1" s="1"/>
  <c r="AE106" i="1"/>
  <c r="X107" i="1"/>
  <c r="AC106" i="1"/>
  <c r="AD106" i="1" s="1"/>
  <c r="J108" i="1"/>
  <c r="K108" i="1" s="1"/>
  <c r="L108" i="1" s="1"/>
  <c r="V108" i="1"/>
  <c r="W108" i="1" s="1"/>
  <c r="I108" i="1"/>
  <c r="AF32" i="1"/>
  <c r="AG32" i="1"/>
  <c r="AH32" i="1" s="1"/>
  <c r="H36" i="1"/>
  <c r="O35" i="1"/>
  <c r="AB33" i="1"/>
  <c r="AE33" i="1" s="1"/>
  <c r="P35" i="1"/>
  <c r="M108" i="1" l="1"/>
  <c r="N108" i="1" s="1"/>
  <c r="Y107" i="1"/>
  <c r="J36" i="1"/>
  <c r="K36" i="1" s="1"/>
  <c r="L36" i="1" s="1"/>
  <c r="M36" i="1" s="1"/>
  <c r="N36" i="1" s="1"/>
  <c r="H109" i="1"/>
  <c r="AG106" i="1"/>
  <c r="AF106" i="1"/>
  <c r="I36" i="1"/>
  <c r="V36" i="1"/>
  <c r="W36" i="1" s="1"/>
  <c r="AC33" i="1"/>
  <c r="X34" i="1"/>
  <c r="J109" i="1" l="1"/>
  <c r="K109" i="1" s="1"/>
  <c r="L109" i="1" s="1"/>
  <c r="V109" i="1"/>
  <c r="W109" i="1" s="1"/>
  <c r="I109" i="1"/>
  <c r="O108" i="1"/>
  <c r="P108" i="1" s="1"/>
  <c r="AA107" i="1"/>
  <c r="Z107" i="1"/>
  <c r="AB107" i="1" s="1"/>
  <c r="H37" i="1"/>
  <c r="O36" i="1"/>
  <c r="P36" i="1" s="1"/>
  <c r="Y34" i="1"/>
  <c r="AD33" i="1"/>
  <c r="J37" i="1" l="1"/>
  <c r="K37" i="1" s="1"/>
  <c r="L37" i="1" s="1"/>
  <c r="H110" i="1"/>
  <c r="V37" i="1"/>
  <c r="W37" i="1" s="1"/>
  <c r="M109" i="1"/>
  <c r="N109" i="1"/>
  <c r="I37" i="1"/>
  <c r="B29" i="1" s="1" a="1"/>
  <c r="B29" i="1" s="1"/>
  <c r="AE107" i="1"/>
  <c r="AC107" i="1"/>
  <c r="AD107" i="1" s="1"/>
  <c r="X108" i="1"/>
  <c r="AG33" i="1"/>
  <c r="AF33" i="1"/>
  <c r="Z34" i="1"/>
  <c r="AA34" i="1"/>
  <c r="M37" i="1"/>
  <c r="N37" i="1" s="1"/>
  <c r="O109" i="1" l="1"/>
  <c r="P109" i="1" s="1"/>
  <c r="AF107" i="1"/>
  <c r="AG107" i="1"/>
  <c r="J110" i="1"/>
  <c r="K110" i="1" s="1"/>
  <c r="L110" i="1" s="1"/>
  <c r="V110" i="1"/>
  <c r="W110" i="1" s="1"/>
  <c r="I110" i="1"/>
  <c r="Y108" i="1"/>
  <c r="H38" i="1"/>
  <c r="V38" i="1" s="1"/>
  <c r="W38" i="1" s="1"/>
  <c r="O37" i="1"/>
  <c r="P37" i="1" s="1"/>
  <c r="AH33" i="1"/>
  <c r="AB34" i="1"/>
  <c r="AE34" i="1" s="1"/>
  <c r="M110" i="1" l="1"/>
  <c r="N110" i="1"/>
  <c r="J38" i="1"/>
  <c r="K38" i="1" s="1"/>
  <c r="L38" i="1" s="1"/>
  <c r="M38" i="1" s="1"/>
  <c r="N38" i="1" s="1"/>
  <c r="H111" i="1"/>
  <c r="AA108" i="1"/>
  <c r="Z108" i="1"/>
  <c r="AB108" i="1" s="1"/>
  <c r="I38" i="1"/>
  <c r="X35" i="1"/>
  <c r="AC34" i="1"/>
  <c r="AE108" i="1" l="1"/>
  <c r="X109" i="1"/>
  <c r="Y109" i="1" s="1"/>
  <c r="AC108" i="1"/>
  <c r="AD108" i="1" s="1"/>
  <c r="O110" i="1"/>
  <c r="P110" i="1" s="1"/>
  <c r="J111" i="1"/>
  <c r="K111" i="1" s="1"/>
  <c r="L111" i="1" s="1"/>
  <c r="V111" i="1"/>
  <c r="W111" i="1" s="1"/>
  <c r="I111" i="1"/>
  <c r="H39" i="1"/>
  <c r="O38" i="1"/>
  <c r="P38" i="1" s="1"/>
  <c r="Y35" i="1"/>
  <c r="I39" i="1"/>
  <c r="AD34" i="1"/>
  <c r="J39" i="1" l="1"/>
  <c r="K39" i="1" s="1"/>
  <c r="L39" i="1" s="1"/>
  <c r="M39" i="1" s="1"/>
  <c r="N39" i="1" s="1"/>
  <c r="H112" i="1"/>
  <c r="AF108" i="1"/>
  <c r="AG108" i="1"/>
  <c r="M111" i="1"/>
  <c r="N111" i="1"/>
  <c r="AA109" i="1"/>
  <c r="Z109" i="1"/>
  <c r="AG34" i="1"/>
  <c r="AF34" i="1"/>
  <c r="V39" i="1"/>
  <c r="W39" i="1" s="1"/>
  <c r="Z35" i="1"/>
  <c r="AA35" i="1"/>
  <c r="O111" i="1" l="1"/>
  <c r="P111" i="1" s="1"/>
  <c r="AB109" i="1"/>
  <c r="J112" i="1"/>
  <c r="K112" i="1" s="1"/>
  <c r="L112" i="1" s="1"/>
  <c r="V112" i="1"/>
  <c r="W112" i="1" s="1"/>
  <c r="I112" i="1"/>
  <c r="H40" i="1"/>
  <c r="O39" i="1"/>
  <c r="P39" i="1" s="1"/>
  <c r="AB35" i="1"/>
  <c r="AE35" i="1" s="1"/>
  <c r="AH34" i="1"/>
  <c r="M112" i="1" l="1"/>
  <c r="N112" i="1" s="1"/>
  <c r="AE109" i="1"/>
  <c r="AC109" i="1"/>
  <c r="AD109" i="1" s="1"/>
  <c r="X110" i="1"/>
  <c r="J40" i="1"/>
  <c r="K40" i="1" s="1"/>
  <c r="L40" i="1" s="1"/>
  <c r="M40" i="1" s="1"/>
  <c r="N40" i="1" s="1"/>
  <c r="H113" i="1"/>
  <c r="I40" i="1"/>
  <c r="V40" i="1"/>
  <c r="W40" i="1" s="1"/>
  <c r="AC35" i="1"/>
  <c r="AD35" i="1" s="1"/>
  <c r="X36" i="1"/>
  <c r="Y36" i="1" s="1"/>
  <c r="AG109" i="1" l="1"/>
  <c r="AF109" i="1"/>
  <c r="Y110" i="1"/>
  <c r="O112" i="1"/>
  <c r="P112" i="1" s="1"/>
  <c r="J113" i="1"/>
  <c r="K113" i="1" s="1"/>
  <c r="L113" i="1" s="1"/>
  <c r="V113" i="1"/>
  <c r="W113" i="1" s="1"/>
  <c r="I113" i="1"/>
  <c r="AF35" i="1"/>
  <c r="AG35" i="1"/>
  <c r="AH35" i="1" s="1"/>
  <c r="H41" i="1"/>
  <c r="O40" i="1"/>
  <c r="P40" i="1" s="1"/>
  <c r="Z36" i="1"/>
  <c r="AA36" i="1"/>
  <c r="Z110" i="1" l="1"/>
  <c r="AA110" i="1"/>
  <c r="J41" i="1"/>
  <c r="K41" i="1" s="1"/>
  <c r="L41" i="1" s="1"/>
  <c r="M41" i="1" s="1"/>
  <c r="N41" i="1" s="1"/>
  <c r="H114" i="1"/>
  <c r="V41" i="1"/>
  <c r="W41" i="1" s="1"/>
  <c r="M113" i="1"/>
  <c r="N113" i="1" s="1"/>
  <c r="I41" i="1"/>
  <c r="AB36" i="1"/>
  <c r="AB110" i="1" l="1"/>
  <c r="AE110" i="1" s="1"/>
  <c r="O113" i="1"/>
  <c r="P113" i="1" s="1"/>
  <c r="J114" i="1"/>
  <c r="K114" i="1" s="1"/>
  <c r="L114" i="1" s="1"/>
  <c r="V114" i="1"/>
  <c r="W114" i="1" s="1"/>
  <c r="I114" i="1"/>
  <c r="H42" i="1"/>
  <c r="O41" i="1"/>
  <c r="P41" i="1" s="1"/>
  <c r="AC36" i="1"/>
  <c r="AD36" i="1" s="1"/>
  <c r="AE36" i="1"/>
  <c r="X37" i="1"/>
  <c r="Y37" i="1" s="1"/>
  <c r="X111" i="1" l="1"/>
  <c r="Y111" i="1" s="1"/>
  <c r="AC110" i="1"/>
  <c r="AD110" i="1" s="1"/>
  <c r="AF110" i="1" s="1"/>
  <c r="M114" i="1"/>
  <c r="N114" i="1" s="1"/>
  <c r="AA111" i="1"/>
  <c r="Z111" i="1"/>
  <c r="AB111" i="1" s="1"/>
  <c r="J42" i="1"/>
  <c r="K42" i="1" s="1"/>
  <c r="L42" i="1" s="1"/>
  <c r="M42" i="1" s="1"/>
  <c r="N42" i="1" s="1"/>
  <c r="H115" i="1"/>
  <c r="AG36" i="1"/>
  <c r="AF36" i="1"/>
  <c r="I42" i="1"/>
  <c r="V42" i="1"/>
  <c r="W42" i="1" s="1"/>
  <c r="Z37" i="1"/>
  <c r="AA37" i="1"/>
  <c r="AH36" i="1" l="1"/>
  <c r="AG110" i="1"/>
  <c r="O114" i="1"/>
  <c r="P114" i="1" s="1"/>
  <c r="AE111" i="1"/>
  <c r="X112" i="1"/>
  <c r="AC111" i="1"/>
  <c r="AD111" i="1" s="1"/>
  <c r="J115" i="1"/>
  <c r="K115" i="1" s="1"/>
  <c r="L115" i="1" s="1"/>
  <c r="V115" i="1"/>
  <c r="W115" i="1" s="1"/>
  <c r="I115" i="1"/>
  <c r="H43" i="1"/>
  <c r="O42" i="1"/>
  <c r="P42" i="1" s="1"/>
  <c r="AB37" i="1"/>
  <c r="AE37" i="1" s="1"/>
  <c r="M115" i="1" l="1"/>
  <c r="N115" i="1" s="1"/>
  <c r="J43" i="1"/>
  <c r="K43" i="1" s="1"/>
  <c r="L43" i="1" s="1"/>
  <c r="H116" i="1"/>
  <c r="AF111" i="1"/>
  <c r="AG111" i="1"/>
  <c r="Y112" i="1"/>
  <c r="I43" i="1"/>
  <c r="V43" i="1"/>
  <c r="W43" i="1" s="1"/>
  <c r="AY28" i="1" a="1"/>
  <c r="AC37" i="1"/>
  <c r="AD37" i="1" s="1"/>
  <c r="X38" i="1"/>
  <c r="M43" i="1"/>
  <c r="N43" i="1" s="1"/>
  <c r="O115" i="1" l="1"/>
  <c r="P115" i="1"/>
  <c r="J116" i="1"/>
  <c r="K116" i="1" s="1"/>
  <c r="L116" i="1" s="1"/>
  <c r="V116" i="1"/>
  <c r="W116" i="1" s="1"/>
  <c r="I116" i="1"/>
  <c r="Z112" i="1"/>
  <c r="AA112" i="1"/>
  <c r="AF37" i="1"/>
  <c r="AG37" i="1"/>
  <c r="H44" i="1"/>
  <c r="O43" i="1"/>
  <c r="P43" i="1" s="1"/>
  <c r="AZ48" i="1"/>
  <c r="AZ60" i="1"/>
  <c r="AZ70" i="1"/>
  <c r="AZ76" i="1"/>
  <c r="AZ42" i="1"/>
  <c r="AZ54" i="1"/>
  <c r="AZ66" i="1"/>
  <c r="AZ43" i="1"/>
  <c r="AZ55" i="1"/>
  <c r="AZ59" i="1"/>
  <c r="AZ69" i="1"/>
  <c r="AZ75" i="1"/>
  <c r="AZ49" i="1"/>
  <c r="AZ61" i="1"/>
  <c r="AZ71" i="1"/>
  <c r="AZ41" i="1"/>
  <c r="AZ53" i="1"/>
  <c r="AZ65" i="1"/>
  <c r="AZ72" i="1"/>
  <c r="AZ68" i="1"/>
  <c r="AZ73" i="1"/>
  <c r="AZ74" i="1"/>
  <c r="AZ58" i="1"/>
  <c r="AZ62" i="1"/>
  <c r="AZ31" i="1"/>
  <c r="AZ64" i="1"/>
  <c r="AZ39" i="1"/>
  <c r="AY28" i="1"/>
  <c r="AZ28" i="1" s="1"/>
  <c r="AZ36" i="1"/>
  <c r="AZ38" i="1"/>
  <c r="AZ45" i="1"/>
  <c r="AZ34" i="1"/>
  <c r="AZ30" i="1"/>
  <c r="AZ40" i="1"/>
  <c r="AZ44" i="1"/>
  <c r="AZ51" i="1"/>
  <c r="AZ33" i="1"/>
  <c r="AZ35" i="1"/>
  <c r="AZ46" i="1"/>
  <c r="AZ50" i="1"/>
  <c r="AZ52" i="1"/>
  <c r="AZ56" i="1"/>
  <c r="AZ63" i="1"/>
  <c r="Y38" i="1"/>
  <c r="AB112" i="1" l="1"/>
  <c r="M116" i="1"/>
  <c r="N116" i="1" s="1"/>
  <c r="AE112" i="1"/>
  <c r="AC112" i="1"/>
  <c r="AD112" i="1" s="1"/>
  <c r="X113" i="1"/>
  <c r="Y113" i="1" s="1"/>
  <c r="J44" i="1"/>
  <c r="K44" i="1" s="1"/>
  <c r="L44" i="1" s="1"/>
  <c r="M44" i="1" s="1"/>
  <c r="N44" i="1" s="1"/>
  <c r="H117" i="1"/>
  <c r="V44" i="1"/>
  <c r="W44" i="1" s="1"/>
  <c r="I44" i="1"/>
  <c r="AZ29" i="1"/>
  <c r="Z38" i="1"/>
  <c r="AA38" i="1"/>
  <c r="AH37" i="1"/>
  <c r="O116" i="1" l="1"/>
  <c r="P116" i="1" s="1"/>
  <c r="AG112" i="1"/>
  <c r="AF112" i="1"/>
  <c r="Z113" i="1"/>
  <c r="AA113" i="1"/>
  <c r="J117" i="1"/>
  <c r="K117" i="1" s="1"/>
  <c r="L117" i="1" s="1"/>
  <c r="V117" i="1"/>
  <c r="W117" i="1" s="1"/>
  <c r="I117" i="1"/>
  <c r="H45" i="1"/>
  <c r="O44" i="1"/>
  <c r="P44" i="1" s="1"/>
  <c r="AB38" i="1"/>
  <c r="AE38" i="1" s="1"/>
  <c r="AB113" i="1" l="1"/>
  <c r="AE113" i="1" s="1"/>
  <c r="M117" i="1"/>
  <c r="N117" i="1"/>
  <c r="J45" i="1"/>
  <c r="K45" i="1" s="1"/>
  <c r="L45" i="1" s="1"/>
  <c r="M45" i="1" s="1"/>
  <c r="N45" i="1" s="1"/>
  <c r="H118" i="1"/>
  <c r="I45" i="1"/>
  <c r="V45" i="1"/>
  <c r="W45" i="1" s="1"/>
  <c r="X39" i="1"/>
  <c r="AC38" i="1"/>
  <c r="AD38" i="1" s="1"/>
  <c r="AC113" i="1" l="1"/>
  <c r="AD113" i="1" s="1"/>
  <c r="X114" i="1"/>
  <c r="AF113" i="1"/>
  <c r="AG113" i="1"/>
  <c r="Y114" i="1"/>
  <c r="O117" i="1"/>
  <c r="P117" i="1" s="1"/>
  <c r="V118" i="1"/>
  <c r="W118" i="1" s="1"/>
  <c r="J118" i="1"/>
  <c r="K118" i="1" s="1"/>
  <c r="L118" i="1" s="1"/>
  <c r="I118" i="1"/>
  <c r="AG38" i="1"/>
  <c r="AF38" i="1"/>
  <c r="H46" i="1"/>
  <c r="V46" i="1" s="1"/>
  <c r="W46" i="1" s="1"/>
  <c r="O45" i="1"/>
  <c r="Y39" i="1"/>
  <c r="P45" i="1"/>
  <c r="Z114" i="1" l="1"/>
  <c r="AA114" i="1"/>
  <c r="I46" i="1"/>
  <c r="J46" i="1"/>
  <c r="K46" i="1" s="1"/>
  <c r="L46" i="1" s="1"/>
  <c r="M46" i="1" s="1"/>
  <c r="N46" i="1" s="1"/>
  <c r="H119" i="1"/>
  <c r="M118" i="1"/>
  <c r="N118" i="1" s="1"/>
  <c r="Z39" i="1"/>
  <c r="AA39" i="1"/>
  <c r="AH38" i="1"/>
  <c r="O118" i="1" l="1"/>
  <c r="P118" i="1" s="1"/>
  <c r="J119" i="1"/>
  <c r="K119" i="1" s="1"/>
  <c r="L119" i="1" s="1"/>
  <c r="V119" i="1"/>
  <c r="W119" i="1" s="1"/>
  <c r="I119" i="1"/>
  <c r="AB114" i="1"/>
  <c r="H47" i="1"/>
  <c r="V47" i="1" s="1"/>
  <c r="W47" i="1" s="1"/>
  <c r="O46" i="1"/>
  <c r="P46" i="1" s="1"/>
  <c r="AB39" i="1"/>
  <c r="I47" i="1" l="1"/>
  <c r="M119" i="1"/>
  <c r="N119" i="1"/>
  <c r="AE114" i="1"/>
  <c r="AC114" i="1"/>
  <c r="AD114" i="1" s="1"/>
  <c r="X115" i="1"/>
  <c r="J47" i="1"/>
  <c r="K47" i="1" s="1"/>
  <c r="L47" i="1" s="1"/>
  <c r="H120" i="1"/>
  <c r="AC39" i="1"/>
  <c r="AD39" i="1" s="1"/>
  <c r="AE39" i="1"/>
  <c r="X40" i="1"/>
  <c r="Y40" i="1" s="1"/>
  <c r="M47" i="1"/>
  <c r="N47" i="1" s="1"/>
  <c r="Y115" i="1" l="1"/>
  <c r="AG114" i="1"/>
  <c r="AF114" i="1"/>
  <c r="O119" i="1"/>
  <c r="P119" i="1" s="1"/>
  <c r="J120" i="1"/>
  <c r="K120" i="1" s="1"/>
  <c r="L120" i="1" s="1"/>
  <c r="V120" i="1"/>
  <c r="W120" i="1" s="1"/>
  <c r="I120" i="1"/>
  <c r="AF39" i="1"/>
  <c r="AG39" i="1"/>
  <c r="H48" i="1"/>
  <c r="O47" i="1"/>
  <c r="P47" i="1" s="1"/>
  <c r="Z40" i="1"/>
  <c r="AA40" i="1"/>
  <c r="J48" i="1" l="1"/>
  <c r="K48" i="1" s="1"/>
  <c r="L48" i="1" s="1"/>
  <c r="H121" i="1"/>
  <c r="M120" i="1"/>
  <c r="N120" i="1" s="1"/>
  <c r="Z115" i="1"/>
  <c r="AA115" i="1"/>
  <c r="AH39" i="1"/>
  <c r="I48" i="1"/>
  <c r="V48" i="1"/>
  <c r="W48" i="1" s="1"/>
  <c r="AB40" i="1"/>
  <c r="M48" i="1"/>
  <c r="N48" i="1" s="1"/>
  <c r="AB115" i="1" l="1"/>
  <c r="AE115" i="1"/>
  <c r="AC115" i="1"/>
  <c r="AD115" i="1" s="1"/>
  <c r="X116" i="1"/>
  <c r="O120" i="1"/>
  <c r="P120" i="1" s="1"/>
  <c r="J121" i="1"/>
  <c r="K121" i="1" s="1"/>
  <c r="L121" i="1" s="1"/>
  <c r="V121" i="1"/>
  <c r="W121" i="1" s="1"/>
  <c r="I121" i="1"/>
  <c r="H49" i="1"/>
  <c r="I49" i="1" s="1"/>
  <c r="O48" i="1"/>
  <c r="P48" i="1" s="1"/>
  <c r="AC40" i="1"/>
  <c r="AD40" i="1" s="1"/>
  <c r="AE40" i="1"/>
  <c r="X41" i="1"/>
  <c r="Y41" i="1" s="1"/>
  <c r="M121" i="1" l="1"/>
  <c r="N121" i="1"/>
  <c r="Y116" i="1"/>
  <c r="J49" i="1"/>
  <c r="K49" i="1" s="1"/>
  <c r="L49" i="1" s="1"/>
  <c r="M49" i="1" s="1"/>
  <c r="N49" i="1" s="1"/>
  <c r="H122" i="1"/>
  <c r="V49" i="1"/>
  <c r="W49" i="1" s="1"/>
  <c r="AF115" i="1"/>
  <c r="AG115" i="1"/>
  <c r="AF40" i="1"/>
  <c r="AG40" i="1"/>
  <c r="AH40" i="1" s="1"/>
  <c r="Z41" i="1"/>
  <c r="AA41" i="1"/>
  <c r="Z116" i="1" l="1"/>
  <c r="AA116" i="1"/>
  <c r="O121" i="1"/>
  <c r="P121" i="1"/>
  <c r="V122" i="1"/>
  <c r="W122" i="1" s="1"/>
  <c r="J122" i="1"/>
  <c r="K122" i="1" s="1"/>
  <c r="L122" i="1" s="1"/>
  <c r="I122" i="1"/>
  <c r="H50" i="1"/>
  <c r="O49" i="1"/>
  <c r="P49" i="1" s="1"/>
  <c r="AB41" i="1"/>
  <c r="AE41" i="1" s="1"/>
  <c r="J50" i="1" l="1"/>
  <c r="K50" i="1" s="1"/>
  <c r="L50" i="1" s="1"/>
  <c r="H123" i="1"/>
  <c r="M122" i="1"/>
  <c r="N122" i="1"/>
  <c r="AB116" i="1"/>
  <c r="I50" i="1"/>
  <c r="V50" i="1"/>
  <c r="W50" i="1" s="1"/>
  <c r="AC41" i="1"/>
  <c r="AD41" i="1" s="1"/>
  <c r="X42" i="1"/>
  <c r="M50" i="1"/>
  <c r="N50" i="1" s="1"/>
  <c r="AE116" i="1" l="1"/>
  <c r="AC116" i="1"/>
  <c r="AD116" i="1" s="1"/>
  <c r="X117" i="1"/>
  <c r="O122" i="1"/>
  <c r="P122" i="1" s="1"/>
  <c r="V123" i="1"/>
  <c r="W123" i="1" s="1"/>
  <c r="J123" i="1"/>
  <c r="K123" i="1" s="1"/>
  <c r="L123" i="1" s="1"/>
  <c r="I123" i="1"/>
  <c r="AF41" i="1"/>
  <c r="AG41" i="1"/>
  <c r="H51" i="1"/>
  <c r="O50" i="1"/>
  <c r="P50" i="1" s="1"/>
  <c r="Y42" i="1"/>
  <c r="AG116" i="1" l="1"/>
  <c r="AF116" i="1"/>
  <c r="J51" i="1"/>
  <c r="K51" i="1" s="1"/>
  <c r="L51" i="1" s="1"/>
  <c r="M51" i="1" s="1"/>
  <c r="N51" i="1" s="1"/>
  <c r="H124" i="1"/>
  <c r="Y117" i="1"/>
  <c r="V51" i="1"/>
  <c r="W51" i="1" s="1"/>
  <c r="M123" i="1"/>
  <c r="N123" i="1" s="1"/>
  <c r="I51" i="1"/>
  <c r="AH41" i="1"/>
  <c r="Z42" i="1"/>
  <c r="AA42" i="1"/>
  <c r="J124" i="1" l="1"/>
  <c r="K124" i="1" s="1"/>
  <c r="L124" i="1" s="1"/>
  <c r="V124" i="1"/>
  <c r="W124" i="1" s="1"/>
  <c r="I124" i="1"/>
  <c r="O123" i="1"/>
  <c r="P123" i="1" s="1"/>
  <c r="Z117" i="1"/>
  <c r="AA117" i="1"/>
  <c r="H52" i="1"/>
  <c r="O51" i="1"/>
  <c r="P51" i="1" s="1"/>
  <c r="AB42" i="1"/>
  <c r="AE42" i="1" s="1"/>
  <c r="AB117" i="1" l="1"/>
  <c r="J52" i="1"/>
  <c r="K52" i="1" s="1"/>
  <c r="L52" i="1" s="1"/>
  <c r="H125" i="1"/>
  <c r="AE117" i="1"/>
  <c r="AC117" i="1"/>
  <c r="AD117" i="1" s="1"/>
  <c r="X118" i="1"/>
  <c r="M124" i="1"/>
  <c r="N124" i="1" s="1"/>
  <c r="I52" i="1"/>
  <c r="V52" i="1"/>
  <c r="W52" i="1" s="1"/>
  <c r="AC42" i="1"/>
  <c r="AD42" i="1" s="1"/>
  <c r="X43" i="1"/>
  <c r="M52" i="1"/>
  <c r="N52" i="1" s="1"/>
  <c r="O124" i="1" l="1"/>
  <c r="P124" i="1" s="1"/>
  <c r="Y118" i="1"/>
  <c r="AG117" i="1"/>
  <c r="AF117" i="1"/>
  <c r="V125" i="1"/>
  <c r="W125" i="1" s="1"/>
  <c r="J125" i="1"/>
  <c r="K125" i="1" s="1"/>
  <c r="L125" i="1" s="1"/>
  <c r="I125" i="1"/>
  <c r="AG42" i="1"/>
  <c r="AF42" i="1"/>
  <c r="H53" i="1"/>
  <c r="O52" i="1"/>
  <c r="P52" i="1" s="1"/>
  <c r="Y43" i="1"/>
  <c r="M125" i="1" l="1"/>
  <c r="N125" i="1" s="1"/>
  <c r="J53" i="1"/>
  <c r="K53" i="1" s="1"/>
  <c r="L53" i="1" s="1"/>
  <c r="M53" i="1" s="1"/>
  <c r="N53" i="1" s="1"/>
  <c r="H126" i="1"/>
  <c r="AA118" i="1"/>
  <c r="Z118" i="1"/>
  <c r="AB118" i="1" s="1"/>
  <c r="I53" i="1"/>
  <c r="V53" i="1"/>
  <c r="W53" i="1" s="1"/>
  <c r="AH42" i="1"/>
  <c r="Z43" i="1"/>
  <c r="AA43" i="1"/>
  <c r="AE118" i="1" l="1"/>
  <c r="AC118" i="1"/>
  <c r="AD118" i="1" s="1"/>
  <c r="X119" i="1"/>
  <c r="Y119" i="1" s="1"/>
  <c r="V126" i="1"/>
  <c r="W126" i="1" s="1"/>
  <c r="J126" i="1"/>
  <c r="K126" i="1" s="1"/>
  <c r="L126" i="1" s="1"/>
  <c r="I126" i="1"/>
  <c r="O125" i="1"/>
  <c r="P125" i="1" s="1"/>
  <c r="H54" i="1"/>
  <c r="O53" i="1"/>
  <c r="P53" i="1" s="1"/>
  <c r="AB43" i="1"/>
  <c r="AE43" i="1" s="1"/>
  <c r="AA119" i="1" l="1"/>
  <c r="Z119" i="1"/>
  <c r="AG118" i="1"/>
  <c r="AF118" i="1"/>
  <c r="M126" i="1"/>
  <c r="N126" i="1"/>
  <c r="J54" i="1"/>
  <c r="K54" i="1" s="1"/>
  <c r="L54" i="1" s="1"/>
  <c r="M54" i="1" s="1"/>
  <c r="N54" i="1" s="1"/>
  <c r="H127" i="1"/>
  <c r="I54" i="1"/>
  <c r="V54" i="1"/>
  <c r="W54" i="1" s="1"/>
  <c r="AC43" i="1"/>
  <c r="AD43" i="1" s="1"/>
  <c r="X44" i="1"/>
  <c r="AB119" i="1" l="1"/>
  <c r="X120" i="1" s="1"/>
  <c r="J127" i="1"/>
  <c r="K127" i="1" s="1"/>
  <c r="L127" i="1" s="1"/>
  <c r="V127" i="1"/>
  <c r="W127" i="1" s="1"/>
  <c r="I127" i="1"/>
  <c r="O126" i="1"/>
  <c r="P126" i="1"/>
  <c r="AG43" i="1"/>
  <c r="AF43" i="1"/>
  <c r="H55" i="1"/>
  <c r="O54" i="1"/>
  <c r="P54" i="1" s="1"/>
  <c r="Y44" i="1"/>
  <c r="AC119" i="1" l="1"/>
  <c r="AD119" i="1" s="1"/>
  <c r="AE119" i="1"/>
  <c r="J55" i="1"/>
  <c r="K55" i="1" s="1"/>
  <c r="L55" i="1" s="1"/>
  <c r="M55" i="1" s="1"/>
  <c r="N55" i="1" s="1"/>
  <c r="H128" i="1"/>
  <c r="AG119" i="1"/>
  <c r="AF119" i="1"/>
  <c r="Y120" i="1"/>
  <c r="M127" i="1"/>
  <c r="N127" i="1" s="1"/>
  <c r="I55" i="1"/>
  <c r="V55" i="1"/>
  <c r="W55" i="1" s="1"/>
  <c r="Z44" i="1"/>
  <c r="AA44" i="1"/>
  <c r="AH43" i="1"/>
  <c r="Z120" i="1" l="1"/>
  <c r="AA120" i="1"/>
  <c r="O127" i="1"/>
  <c r="P127" i="1" s="1"/>
  <c r="J128" i="1"/>
  <c r="K128" i="1" s="1"/>
  <c r="L128" i="1" s="1"/>
  <c r="V128" i="1"/>
  <c r="W128" i="1" s="1"/>
  <c r="I128" i="1"/>
  <c r="H56" i="1"/>
  <c r="O55" i="1"/>
  <c r="P55" i="1" s="1"/>
  <c r="AB44" i="1"/>
  <c r="AE44" i="1" s="1"/>
  <c r="J56" i="1" l="1"/>
  <c r="K56" i="1" s="1"/>
  <c r="L56" i="1" s="1"/>
  <c r="M56" i="1" s="1"/>
  <c r="N56" i="1" s="1"/>
  <c r="H129" i="1"/>
  <c r="M128" i="1"/>
  <c r="N128" i="1" s="1"/>
  <c r="AB120" i="1"/>
  <c r="I56" i="1"/>
  <c r="V56" i="1"/>
  <c r="W56" i="1" s="1"/>
  <c r="AC44" i="1"/>
  <c r="AD44" i="1" s="1"/>
  <c r="X45" i="1"/>
  <c r="AE120" i="1" l="1"/>
  <c r="X121" i="1"/>
  <c r="Y121" i="1" s="1"/>
  <c r="AC120" i="1"/>
  <c r="AD120" i="1" s="1"/>
  <c r="O128" i="1"/>
  <c r="P128" i="1" s="1"/>
  <c r="J129" i="1"/>
  <c r="K129" i="1" s="1"/>
  <c r="L129" i="1" s="1"/>
  <c r="V129" i="1"/>
  <c r="W129" i="1" s="1"/>
  <c r="I129" i="1"/>
  <c r="AG44" i="1"/>
  <c r="AF44" i="1"/>
  <c r="H57" i="1"/>
  <c r="O56" i="1"/>
  <c r="P56" i="1" s="1"/>
  <c r="Y45" i="1"/>
  <c r="M129" i="1" l="1"/>
  <c r="N129" i="1" s="1"/>
  <c r="J57" i="1"/>
  <c r="K57" i="1" s="1"/>
  <c r="L57" i="1" s="1"/>
  <c r="M57" i="1" s="1"/>
  <c r="N57" i="1" s="1"/>
  <c r="H130" i="1"/>
  <c r="I57" i="1"/>
  <c r="AF120" i="1"/>
  <c r="AG120" i="1"/>
  <c r="V57" i="1"/>
  <c r="W57" i="1" s="1"/>
  <c r="Z121" i="1"/>
  <c r="AA121" i="1"/>
  <c r="AH44" i="1"/>
  <c r="Z45" i="1"/>
  <c r="AA45" i="1"/>
  <c r="J130" i="1" l="1"/>
  <c r="K130" i="1" s="1"/>
  <c r="L130" i="1" s="1"/>
  <c r="V130" i="1"/>
  <c r="W130" i="1" s="1"/>
  <c r="I130" i="1"/>
  <c r="AB121" i="1"/>
  <c r="O129" i="1"/>
  <c r="P129" i="1" s="1"/>
  <c r="H58" i="1"/>
  <c r="V58" i="1" s="1"/>
  <c r="W58" i="1" s="1"/>
  <c r="O57" i="1"/>
  <c r="P57" i="1" s="1"/>
  <c r="AB45" i="1"/>
  <c r="AE45" i="1" s="1"/>
  <c r="I58" i="1" l="1"/>
  <c r="AE121" i="1"/>
  <c r="X122" i="1"/>
  <c r="AC121" i="1"/>
  <c r="AD121" i="1" s="1"/>
  <c r="J58" i="1"/>
  <c r="K58" i="1" s="1"/>
  <c r="L58" i="1" s="1"/>
  <c r="M58" i="1" s="1"/>
  <c r="N58" i="1" s="1"/>
  <c r="H131" i="1"/>
  <c r="M130" i="1"/>
  <c r="N130" i="1" s="1"/>
  <c r="AC45" i="1"/>
  <c r="AD45" i="1" s="1"/>
  <c r="X46" i="1"/>
  <c r="O130" i="1" l="1"/>
  <c r="P130" i="1" s="1"/>
  <c r="AF121" i="1"/>
  <c r="AG121" i="1"/>
  <c r="Y122" i="1"/>
  <c r="J131" i="1"/>
  <c r="K131" i="1" s="1"/>
  <c r="L131" i="1" s="1"/>
  <c r="V131" i="1"/>
  <c r="W131" i="1" s="1"/>
  <c r="I131" i="1"/>
  <c r="AF45" i="1"/>
  <c r="AG45" i="1"/>
  <c r="H59" i="1"/>
  <c r="O58" i="1"/>
  <c r="P58" i="1" s="1"/>
  <c r="Y46" i="1"/>
  <c r="J59" i="1" l="1"/>
  <c r="K59" i="1" s="1"/>
  <c r="L59" i="1" s="1"/>
  <c r="M59" i="1" s="1"/>
  <c r="N59" i="1" s="1"/>
  <c r="H132" i="1"/>
  <c r="Z122" i="1"/>
  <c r="AA122" i="1"/>
  <c r="I59" i="1"/>
  <c r="V59" i="1"/>
  <c r="W59" i="1" s="1"/>
  <c r="M131" i="1"/>
  <c r="N131" i="1" s="1"/>
  <c r="AH45" i="1"/>
  <c r="Z46" i="1"/>
  <c r="AA46" i="1"/>
  <c r="AB122" i="1" l="1"/>
  <c r="O131" i="1"/>
  <c r="P131" i="1" s="1"/>
  <c r="J132" i="1"/>
  <c r="K132" i="1" s="1"/>
  <c r="L132" i="1" s="1"/>
  <c r="V132" i="1"/>
  <c r="W132" i="1" s="1"/>
  <c r="I132" i="1"/>
  <c r="H60" i="1"/>
  <c r="O59" i="1"/>
  <c r="P59" i="1" s="1"/>
  <c r="AB46" i="1"/>
  <c r="AE46" i="1" s="1"/>
  <c r="J60" i="1" l="1"/>
  <c r="K60" i="1" s="1"/>
  <c r="L60" i="1" s="1"/>
  <c r="M60" i="1" s="1"/>
  <c r="N60" i="1" s="1"/>
  <c r="H133" i="1"/>
  <c r="V60" i="1"/>
  <c r="W60" i="1" s="1"/>
  <c r="AE122" i="1"/>
  <c r="X123" i="1"/>
  <c r="AC122" i="1"/>
  <c r="AD122" i="1" s="1"/>
  <c r="I60" i="1"/>
  <c r="M132" i="1"/>
  <c r="N132" i="1"/>
  <c r="X47" i="1"/>
  <c r="AC46" i="1"/>
  <c r="AD46" i="1" s="1"/>
  <c r="AF122" i="1" l="1"/>
  <c r="AG122" i="1"/>
  <c r="O132" i="1"/>
  <c r="P132" i="1" s="1"/>
  <c r="V133" i="1"/>
  <c r="W133" i="1" s="1"/>
  <c r="J133" i="1"/>
  <c r="K133" i="1" s="1"/>
  <c r="L133" i="1" s="1"/>
  <c r="I133" i="1"/>
  <c r="Y123" i="1"/>
  <c r="AF46" i="1"/>
  <c r="AG46" i="1"/>
  <c r="H61" i="1"/>
  <c r="O60" i="1"/>
  <c r="P60" i="1" s="1"/>
  <c r="Y47" i="1"/>
  <c r="M133" i="1" l="1"/>
  <c r="N133" i="1" s="1"/>
  <c r="Z123" i="1"/>
  <c r="AA123" i="1"/>
  <c r="J61" i="1"/>
  <c r="K61" i="1" s="1"/>
  <c r="L61" i="1" s="1"/>
  <c r="M61" i="1" s="1"/>
  <c r="N61" i="1" s="1"/>
  <c r="H134" i="1"/>
  <c r="I61" i="1"/>
  <c r="V61" i="1"/>
  <c r="W61" i="1" s="1"/>
  <c r="AH46" i="1"/>
  <c r="AA47" i="1"/>
  <c r="Z47" i="1"/>
  <c r="AB123" i="1" l="1"/>
  <c r="J134" i="1"/>
  <c r="K134" i="1" s="1"/>
  <c r="L134" i="1" s="1"/>
  <c r="V134" i="1"/>
  <c r="W134" i="1" s="1"/>
  <c r="I134" i="1"/>
  <c r="O133" i="1"/>
  <c r="P133" i="1" s="1"/>
  <c r="H62" i="1"/>
  <c r="I62" i="1" s="1"/>
  <c r="O61" i="1"/>
  <c r="P61" i="1" s="1"/>
  <c r="AB47" i="1"/>
  <c r="V62" i="1" l="1"/>
  <c r="W62" i="1" s="1"/>
  <c r="M134" i="1"/>
  <c r="N134" i="1" s="1"/>
  <c r="J62" i="1"/>
  <c r="K62" i="1" s="1"/>
  <c r="L62" i="1" s="1"/>
  <c r="M62" i="1" s="1"/>
  <c r="N62" i="1" s="1"/>
  <c r="H135" i="1"/>
  <c r="AE123" i="1"/>
  <c r="X124" i="1"/>
  <c r="AC123" i="1"/>
  <c r="AD123" i="1" s="1"/>
  <c r="AC47" i="1"/>
  <c r="AD47" i="1" s="1"/>
  <c r="AE47" i="1"/>
  <c r="X48" i="1"/>
  <c r="Y48" i="1" s="1"/>
  <c r="O134" i="1" l="1"/>
  <c r="P134" i="1" s="1"/>
  <c r="J135" i="1"/>
  <c r="K135" i="1" s="1"/>
  <c r="L135" i="1" s="1"/>
  <c r="V135" i="1"/>
  <c r="W135" i="1" s="1"/>
  <c r="I135" i="1"/>
  <c r="Y124" i="1"/>
  <c r="AF123" i="1"/>
  <c r="AG123" i="1"/>
  <c r="AF47" i="1"/>
  <c r="AG47" i="1"/>
  <c r="H63" i="1"/>
  <c r="O62" i="1"/>
  <c r="P62" i="1" s="1"/>
  <c r="Z48" i="1"/>
  <c r="AA48" i="1"/>
  <c r="J63" i="1" l="1"/>
  <c r="K63" i="1" s="1"/>
  <c r="L63" i="1" s="1"/>
  <c r="M63" i="1" s="1"/>
  <c r="N63" i="1" s="1"/>
  <c r="H136" i="1"/>
  <c r="I63" i="1"/>
  <c r="V63" i="1"/>
  <c r="W63" i="1" s="1"/>
  <c r="Z124" i="1"/>
  <c r="AA124" i="1"/>
  <c r="AB124" i="1" s="1"/>
  <c r="M135" i="1"/>
  <c r="N135" i="1" s="1"/>
  <c r="AH47" i="1"/>
  <c r="AB48" i="1"/>
  <c r="AE48" i="1" s="1"/>
  <c r="AE124" i="1" l="1"/>
  <c r="X125" i="1"/>
  <c r="AC124" i="1"/>
  <c r="AD124" i="1" s="1"/>
  <c r="O135" i="1"/>
  <c r="P135" i="1"/>
  <c r="V136" i="1"/>
  <c r="W136" i="1" s="1"/>
  <c r="J136" i="1"/>
  <c r="K136" i="1" s="1"/>
  <c r="L136" i="1" s="1"/>
  <c r="I136" i="1"/>
  <c r="H64" i="1"/>
  <c r="O63" i="1"/>
  <c r="P63" i="1" s="1"/>
  <c r="V64" i="1"/>
  <c r="W64" i="1" s="1"/>
  <c r="I64" i="1"/>
  <c r="AC48" i="1"/>
  <c r="AD48" i="1" s="1"/>
  <c r="X49" i="1"/>
  <c r="J64" i="1" l="1"/>
  <c r="K64" i="1" s="1"/>
  <c r="L64" i="1" s="1"/>
  <c r="M64" i="1" s="1"/>
  <c r="N64" i="1" s="1"/>
  <c r="H137" i="1"/>
  <c r="AG124" i="1"/>
  <c r="AF124" i="1"/>
  <c r="Y125" i="1"/>
  <c r="M136" i="1"/>
  <c r="N136" i="1" s="1"/>
  <c r="AG48" i="1"/>
  <c r="AF48" i="1"/>
  <c r="Y49" i="1"/>
  <c r="AA125" i="1" l="1"/>
  <c r="Z125" i="1"/>
  <c r="AB125" i="1" s="1"/>
  <c r="J137" i="1"/>
  <c r="K137" i="1" s="1"/>
  <c r="L137" i="1" s="1"/>
  <c r="V137" i="1"/>
  <c r="W137" i="1" s="1"/>
  <c r="I137" i="1"/>
  <c r="O136" i="1"/>
  <c r="P136" i="1" s="1"/>
  <c r="H65" i="1"/>
  <c r="O64" i="1"/>
  <c r="P64" i="1" s="1"/>
  <c r="AH48" i="1"/>
  <c r="V65" i="1"/>
  <c r="W65" i="1" s="1"/>
  <c r="I65" i="1"/>
  <c r="Z49" i="1"/>
  <c r="AA49" i="1"/>
  <c r="M137" i="1" l="1"/>
  <c r="N137" i="1"/>
  <c r="J65" i="1"/>
  <c r="K65" i="1" s="1"/>
  <c r="L65" i="1" s="1"/>
  <c r="M65" i="1" s="1"/>
  <c r="N65" i="1" s="1"/>
  <c r="H138" i="1"/>
  <c r="AE125" i="1"/>
  <c r="X126" i="1"/>
  <c r="AC125" i="1"/>
  <c r="AD125" i="1" s="1"/>
  <c r="AB49" i="1"/>
  <c r="AE49" i="1" s="1"/>
  <c r="Y126" i="1" l="1"/>
  <c r="J138" i="1"/>
  <c r="K138" i="1" s="1"/>
  <c r="L138" i="1" s="1"/>
  <c r="V138" i="1"/>
  <c r="W138" i="1" s="1"/>
  <c r="I138" i="1"/>
  <c r="O137" i="1"/>
  <c r="P137" i="1" s="1"/>
  <c r="AF125" i="1"/>
  <c r="AG125" i="1"/>
  <c r="H66" i="1"/>
  <c r="V66" i="1" s="1"/>
  <c r="W66" i="1" s="1"/>
  <c r="O65" i="1"/>
  <c r="P65" i="1" s="1"/>
  <c r="AC49" i="1"/>
  <c r="AD49" i="1" s="1"/>
  <c r="X50" i="1"/>
  <c r="J66" i="1" l="1"/>
  <c r="K66" i="1" s="1"/>
  <c r="L66" i="1" s="1"/>
  <c r="M66" i="1" s="1"/>
  <c r="N66" i="1" s="1"/>
  <c r="H139" i="1"/>
  <c r="M138" i="1"/>
  <c r="N138" i="1" s="1"/>
  <c r="AA126" i="1"/>
  <c r="Z126" i="1"/>
  <c r="AB126" i="1" s="1"/>
  <c r="AG49" i="1"/>
  <c r="AF49" i="1"/>
  <c r="I66" i="1"/>
  <c r="Y50" i="1"/>
  <c r="J139" i="1" l="1"/>
  <c r="K139" i="1" s="1"/>
  <c r="L139" i="1" s="1"/>
  <c r="V139" i="1"/>
  <c r="W139" i="1" s="1"/>
  <c r="I139" i="1"/>
  <c r="AE126" i="1"/>
  <c r="X127" i="1"/>
  <c r="AC126" i="1"/>
  <c r="AD126" i="1" s="1"/>
  <c r="O138" i="1"/>
  <c r="P138" i="1" s="1"/>
  <c r="H67" i="1"/>
  <c r="O66" i="1"/>
  <c r="P66" i="1" s="1"/>
  <c r="AH49" i="1"/>
  <c r="Z50" i="1"/>
  <c r="AA50" i="1"/>
  <c r="Y127" i="1" l="1"/>
  <c r="AF126" i="1"/>
  <c r="AG126" i="1"/>
  <c r="J67" i="1"/>
  <c r="K67" i="1" s="1"/>
  <c r="L67" i="1" s="1"/>
  <c r="M67" i="1" s="1"/>
  <c r="N67" i="1" s="1"/>
  <c r="H140" i="1"/>
  <c r="M139" i="1"/>
  <c r="N139" i="1" s="1"/>
  <c r="I67" i="1"/>
  <c r="V67" i="1"/>
  <c r="W67" i="1" s="1"/>
  <c r="AB50" i="1"/>
  <c r="O139" i="1" l="1"/>
  <c r="P139" i="1"/>
  <c r="J140" i="1"/>
  <c r="K140" i="1" s="1"/>
  <c r="L140" i="1" s="1"/>
  <c r="V140" i="1"/>
  <c r="W140" i="1" s="1"/>
  <c r="I140" i="1"/>
  <c r="Z127" i="1"/>
  <c r="AA127" i="1"/>
  <c r="H68" i="1"/>
  <c r="O67" i="1"/>
  <c r="P67" i="1" s="1"/>
  <c r="AC50" i="1"/>
  <c r="AD50" i="1" s="1"/>
  <c r="AE50" i="1"/>
  <c r="X51" i="1"/>
  <c r="Y51" i="1" s="1"/>
  <c r="M140" i="1" l="1"/>
  <c r="N140" i="1"/>
  <c r="AB127" i="1"/>
  <c r="J68" i="1"/>
  <c r="K68" i="1" s="1"/>
  <c r="L68" i="1" s="1"/>
  <c r="H141" i="1"/>
  <c r="AG50" i="1"/>
  <c r="AF50" i="1"/>
  <c r="V68" i="1"/>
  <c r="W68" i="1" s="1"/>
  <c r="I68" i="1"/>
  <c r="Z51" i="1"/>
  <c r="AA51" i="1"/>
  <c r="M68" i="1"/>
  <c r="N68" i="1" s="1"/>
  <c r="AH50" i="1" l="1"/>
  <c r="AE127" i="1"/>
  <c r="X128" i="1"/>
  <c r="Y128" i="1" s="1"/>
  <c r="AC127" i="1"/>
  <c r="AD127" i="1" s="1"/>
  <c r="O140" i="1"/>
  <c r="P140" i="1" s="1"/>
  <c r="J141" i="1"/>
  <c r="K141" i="1" s="1"/>
  <c r="L141" i="1" s="1"/>
  <c r="V141" i="1"/>
  <c r="W141" i="1" s="1"/>
  <c r="I141" i="1"/>
  <c r="H69" i="1"/>
  <c r="O68" i="1"/>
  <c r="P68" i="1" s="1"/>
  <c r="AB51" i="1"/>
  <c r="AE51" i="1" s="1"/>
  <c r="M141" i="1" l="1"/>
  <c r="N141" i="1"/>
  <c r="AA128" i="1"/>
  <c r="Z128" i="1"/>
  <c r="J69" i="1"/>
  <c r="K69" i="1" s="1"/>
  <c r="L69" i="1" s="1"/>
  <c r="M69" i="1" s="1"/>
  <c r="N69" i="1" s="1"/>
  <c r="H142" i="1"/>
  <c r="AG127" i="1"/>
  <c r="AF127" i="1"/>
  <c r="I69" i="1"/>
  <c r="V69" i="1"/>
  <c r="W69" i="1" s="1"/>
  <c r="AC51" i="1"/>
  <c r="AD51" i="1" s="1"/>
  <c r="X52" i="1"/>
  <c r="AB128" i="1" l="1"/>
  <c r="J142" i="1"/>
  <c r="K142" i="1" s="1"/>
  <c r="L142" i="1" s="1"/>
  <c r="V142" i="1"/>
  <c r="W142" i="1" s="1"/>
  <c r="I142" i="1"/>
  <c r="O141" i="1"/>
  <c r="P141" i="1" s="1"/>
  <c r="AF51" i="1"/>
  <c r="AG51" i="1"/>
  <c r="H70" i="1"/>
  <c r="O69" i="1"/>
  <c r="Y52" i="1"/>
  <c r="P69" i="1"/>
  <c r="J70" i="1" l="1"/>
  <c r="K70" i="1" s="1"/>
  <c r="L70" i="1" s="1"/>
  <c r="H143" i="1"/>
  <c r="I70" i="1"/>
  <c r="M142" i="1"/>
  <c r="N142" i="1" s="1"/>
  <c r="AE128" i="1"/>
  <c r="X129" i="1"/>
  <c r="AC128" i="1"/>
  <c r="AD128" i="1" s="1"/>
  <c r="V70" i="1"/>
  <c r="W70" i="1" s="1"/>
  <c r="AH51" i="1"/>
  <c r="Z52" i="1"/>
  <c r="AA52" i="1"/>
  <c r="M70" i="1"/>
  <c r="N70" i="1" s="1"/>
  <c r="O142" i="1" l="1"/>
  <c r="P142" i="1"/>
  <c r="AF128" i="1"/>
  <c r="AG128" i="1"/>
  <c r="J143" i="1"/>
  <c r="K143" i="1" s="1"/>
  <c r="L143" i="1" s="1"/>
  <c r="V143" i="1"/>
  <c r="W143" i="1" s="1"/>
  <c r="I143" i="1"/>
  <c r="Y129" i="1"/>
  <c r="H71" i="1"/>
  <c r="O70" i="1"/>
  <c r="P70" i="1" s="1"/>
  <c r="V71" i="1"/>
  <c r="W71" i="1" s="1"/>
  <c r="I71" i="1"/>
  <c r="AB52" i="1"/>
  <c r="AE52" i="1" s="1"/>
  <c r="M143" i="1" l="1"/>
  <c r="N143" i="1"/>
  <c r="J71" i="1"/>
  <c r="K71" i="1" s="1"/>
  <c r="L71" i="1" s="1"/>
  <c r="M71" i="1" s="1"/>
  <c r="N71" i="1" s="1"/>
  <c r="H144" i="1"/>
  <c r="Z129" i="1"/>
  <c r="AA129" i="1"/>
  <c r="AC52" i="1"/>
  <c r="AD52" i="1" s="1"/>
  <c r="X53" i="1"/>
  <c r="O143" i="1" l="1"/>
  <c r="P143" i="1" s="1"/>
  <c r="AB129" i="1"/>
  <c r="V144" i="1"/>
  <c r="W144" i="1" s="1"/>
  <c r="J144" i="1"/>
  <c r="K144" i="1" s="1"/>
  <c r="L144" i="1" s="1"/>
  <c r="I144" i="1"/>
  <c r="AF52" i="1"/>
  <c r="AG52" i="1"/>
  <c r="H72" i="1"/>
  <c r="O71" i="1"/>
  <c r="P71" i="1" s="1"/>
  <c r="Y53" i="1"/>
  <c r="V72" i="1"/>
  <c r="W72" i="1" s="1"/>
  <c r="I72" i="1"/>
  <c r="M144" i="1" l="1"/>
  <c r="N144" i="1"/>
  <c r="J72" i="1"/>
  <c r="K72" i="1" s="1"/>
  <c r="L72" i="1" s="1"/>
  <c r="H145" i="1"/>
  <c r="AE129" i="1"/>
  <c r="AC129" i="1"/>
  <c r="AD129" i="1" s="1"/>
  <c r="X130" i="1"/>
  <c r="Y130" i="1" s="1"/>
  <c r="AH52" i="1"/>
  <c r="Z53" i="1"/>
  <c r="AA53" i="1"/>
  <c r="M72" i="1"/>
  <c r="N72" i="1" s="1"/>
  <c r="J145" i="1" l="1"/>
  <c r="V145" i="1"/>
  <c r="W145" i="1" s="1"/>
  <c r="I145" i="1"/>
  <c r="AF129" i="1"/>
  <c r="AG129" i="1"/>
  <c r="O144" i="1"/>
  <c r="P144" i="1" s="1"/>
  <c r="K145" i="1"/>
  <c r="L145" i="1" s="1"/>
  <c r="Z130" i="1"/>
  <c r="AA130" i="1"/>
  <c r="H73" i="1"/>
  <c r="I73" i="1" s="1"/>
  <c r="O72" i="1"/>
  <c r="P72" i="1" s="1"/>
  <c r="AB53" i="1"/>
  <c r="AB130" i="1" l="1"/>
  <c r="M145" i="1"/>
  <c r="N145" i="1"/>
  <c r="J73" i="1"/>
  <c r="K73" i="1" s="1"/>
  <c r="L73" i="1" s="1"/>
  <c r="M73" i="1" s="1"/>
  <c r="N73" i="1" s="1"/>
  <c r="H146" i="1"/>
  <c r="V73" i="1"/>
  <c r="W73" i="1" s="1"/>
  <c r="AC53" i="1"/>
  <c r="AD53" i="1" s="1"/>
  <c r="AE53" i="1"/>
  <c r="X54" i="1"/>
  <c r="Y54" i="1" s="1"/>
  <c r="J146" i="1" l="1"/>
  <c r="K146" i="1" s="1"/>
  <c r="L146" i="1" s="1"/>
  <c r="V146" i="1"/>
  <c r="W146" i="1" s="1"/>
  <c r="I146" i="1"/>
  <c r="O145" i="1"/>
  <c r="P145" i="1" s="1"/>
  <c r="AE130" i="1"/>
  <c r="AC130" i="1"/>
  <c r="AD130" i="1" s="1"/>
  <c r="X131" i="1"/>
  <c r="Z54" i="1"/>
  <c r="AF53" i="1"/>
  <c r="AG53" i="1"/>
  <c r="H74" i="1"/>
  <c r="O73" i="1"/>
  <c r="P73" i="1" s="1"/>
  <c r="AA54" i="1"/>
  <c r="J74" i="1" l="1"/>
  <c r="K74" i="1" s="1"/>
  <c r="L74" i="1" s="1"/>
  <c r="M74" i="1" s="1"/>
  <c r="N74" i="1" s="1"/>
  <c r="H147" i="1"/>
  <c r="Y131" i="1"/>
  <c r="AG130" i="1"/>
  <c r="AF130" i="1"/>
  <c r="M146" i="1"/>
  <c r="N146" i="1" s="1"/>
  <c r="AH53" i="1"/>
  <c r="V74" i="1"/>
  <c r="W74" i="1" s="1"/>
  <c r="I74" i="1"/>
  <c r="AB54" i="1"/>
  <c r="AE54" i="1" s="1"/>
  <c r="O146" i="1" l="1"/>
  <c r="P146" i="1" s="1"/>
  <c r="Z131" i="1"/>
  <c r="AA131" i="1"/>
  <c r="J147" i="1"/>
  <c r="K147" i="1" s="1"/>
  <c r="L147" i="1" s="1"/>
  <c r="V147" i="1"/>
  <c r="W147" i="1" s="1"/>
  <c r="I147" i="1"/>
  <c r="H75" i="1"/>
  <c r="O74" i="1"/>
  <c r="P74" i="1" s="1"/>
  <c r="AC54" i="1"/>
  <c r="AD54" i="1" s="1"/>
  <c r="X55" i="1"/>
  <c r="M147" i="1" l="1"/>
  <c r="N147" i="1" s="1"/>
  <c r="J75" i="1"/>
  <c r="K75" i="1" s="1"/>
  <c r="L75" i="1" s="1"/>
  <c r="H148" i="1"/>
  <c r="AB131" i="1"/>
  <c r="AF54" i="1"/>
  <c r="AG54" i="1"/>
  <c r="V75" i="1"/>
  <c r="W75" i="1" s="1"/>
  <c r="I75" i="1"/>
  <c r="Y55" i="1"/>
  <c r="M75" i="1"/>
  <c r="N75" i="1" s="1"/>
  <c r="O147" i="1" l="1"/>
  <c r="P147" i="1" s="1"/>
  <c r="AE131" i="1"/>
  <c r="AC131" i="1"/>
  <c r="AD131" i="1" s="1"/>
  <c r="X132" i="1"/>
  <c r="J148" i="1"/>
  <c r="K148" i="1" s="1"/>
  <c r="L148" i="1" s="1"/>
  <c r="V148" i="1"/>
  <c r="W148" i="1" s="1"/>
  <c r="I148" i="1"/>
  <c r="H76" i="1"/>
  <c r="O75" i="1"/>
  <c r="AH54" i="1"/>
  <c r="V76" i="1"/>
  <c r="W76" i="1" s="1"/>
  <c r="I76" i="1"/>
  <c r="Z55" i="1"/>
  <c r="AA55" i="1"/>
  <c r="P75" i="1"/>
  <c r="M148" i="1" l="1"/>
  <c r="N148" i="1"/>
  <c r="Y132" i="1"/>
  <c r="AG131" i="1"/>
  <c r="AF131" i="1"/>
  <c r="J76" i="1"/>
  <c r="K76" i="1" s="1"/>
  <c r="L76" i="1" s="1"/>
  <c r="M76" i="1" s="1"/>
  <c r="N76" i="1" s="1"/>
  <c r="H149" i="1"/>
  <c r="AB55" i="1"/>
  <c r="Z132" i="1" l="1"/>
  <c r="AA132" i="1"/>
  <c r="J149" i="1"/>
  <c r="K149" i="1" s="1"/>
  <c r="L149" i="1" s="1"/>
  <c r="V149" i="1"/>
  <c r="W149" i="1" s="1"/>
  <c r="I149" i="1"/>
  <c r="O148" i="1"/>
  <c r="P148" i="1" s="1"/>
  <c r="H77" i="1"/>
  <c r="O76" i="1"/>
  <c r="P76" i="1" s="1"/>
  <c r="AC55" i="1"/>
  <c r="AD55" i="1" s="1"/>
  <c r="AG55" i="1" s="1"/>
  <c r="AE55" i="1"/>
  <c r="X56" i="1"/>
  <c r="Y56" i="1" s="1"/>
  <c r="V77" i="1"/>
  <c r="W77" i="1" s="1"/>
  <c r="I77" i="1"/>
  <c r="AB132" i="1" l="1"/>
  <c r="M149" i="1"/>
  <c r="N149" i="1"/>
  <c r="J77" i="1"/>
  <c r="K77" i="1" s="1"/>
  <c r="L77" i="1" s="1"/>
  <c r="H150" i="1"/>
  <c r="AE132" i="1"/>
  <c r="X133" i="1"/>
  <c r="Y133" i="1" s="1"/>
  <c r="AC132" i="1"/>
  <c r="AD132" i="1" s="1"/>
  <c r="AF55" i="1"/>
  <c r="AH55" i="1" s="1"/>
  <c r="Z56" i="1"/>
  <c r="AA56" i="1"/>
  <c r="M77" i="1"/>
  <c r="N77" i="1" s="1"/>
  <c r="AA133" i="1" l="1"/>
  <c r="Z133" i="1"/>
  <c r="O149" i="1"/>
  <c r="P149" i="1" s="1"/>
  <c r="J150" i="1"/>
  <c r="K150" i="1" s="1"/>
  <c r="L150" i="1" s="1"/>
  <c r="V150" i="1"/>
  <c r="W150" i="1" s="1"/>
  <c r="I150" i="1"/>
  <c r="AF132" i="1"/>
  <c r="AG132" i="1"/>
  <c r="H78" i="1"/>
  <c r="V78" i="1" s="1"/>
  <c r="W78" i="1" s="1"/>
  <c r="O77" i="1"/>
  <c r="P77" i="1" s="1"/>
  <c r="B30" i="1" s="1" a="1"/>
  <c r="B30" i="1" s="1"/>
  <c r="AB56" i="1"/>
  <c r="AE56" i="1" s="1"/>
  <c r="AB133" i="1" l="1"/>
  <c r="AC133" i="1" s="1"/>
  <c r="AD133" i="1" s="1"/>
  <c r="I78" i="1"/>
  <c r="J78" i="1"/>
  <c r="K78" i="1" s="1"/>
  <c r="L78" i="1" s="1"/>
  <c r="H151" i="1"/>
  <c r="X134" i="1"/>
  <c r="Y134" i="1" s="1"/>
  <c r="M150" i="1"/>
  <c r="N150" i="1"/>
  <c r="AO28" i="1" a="1"/>
  <c r="AO28" i="1" s="1"/>
  <c r="AC56" i="1"/>
  <c r="AD56" i="1" s="1"/>
  <c r="X57" i="1"/>
  <c r="M78" i="1"/>
  <c r="N78" i="1" s="1"/>
  <c r="O78" i="1" s="1"/>
  <c r="AE133" i="1" l="1"/>
  <c r="J151" i="1"/>
  <c r="K151" i="1" s="1"/>
  <c r="L151" i="1" s="1"/>
  <c r="V151" i="1"/>
  <c r="W151" i="1" s="1"/>
  <c r="I151" i="1"/>
  <c r="AF133" i="1"/>
  <c r="AG133" i="1"/>
  <c r="AA134" i="1"/>
  <c r="Z134" i="1"/>
  <c r="O150" i="1"/>
  <c r="P150" i="1"/>
  <c r="B31" i="1" s="1" a="1"/>
  <c r="B31" i="1" s="1"/>
  <c r="AF56" i="1"/>
  <c r="AG56" i="1"/>
  <c r="Y57" i="1"/>
  <c r="P78" i="1"/>
  <c r="AP28" i="1" a="1"/>
  <c r="AB134" i="1" l="1"/>
  <c r="AC134" i="1" s="1"/>
  <c r="AD134" i="1" s="1"/>
  <c r="X135" i="1"/>
  <c r="Y135" i="1" s="1"/>
  <c r="M151" i="1"/>
  <c r="N151" i="1"/>
  <c r="AH56" i="1"/>
  <c r="Z57" i="1"/>
  <c r="AA57" i="1"/>
  <c r="AQ44" i="1"/>
  <c r="AQ51" i="1"/>
  <c r="AQ37" i="1"/>
  <c r="AQ54" i="1"/>
  <c r="AQ30" i="1"/>
  <c r="AQ33" i="1"/>
  <c r="AQ68" i="1"/>
  <c r="AQ66" i="1"/>
  <c r="AQ32" i="1"/>
  <c r="AQ60" i="1"/>
  <c r="AQ45" i="1"/>
  <c r="AQ75" i="1"/>
  <c r="AQ47" i="1"/>
  <c r="AQ35" i="1"/>
  <c r="AQ42" i="1"/>
  <c r="AQ61" i="1"/>
  <c r="AQ36" i="1"/>
  <c r="AQ43" i="1"/>
  <c r="AQ50" i="1"/>
  <c r="AQ71" i="1"/>
  <c r="AQ59" i="1"/>
  <c r="AQ73" i="1"/>
  <c r="AQ39" i="1"/>
  <c r="AQ64" i="1"/>
  <c r="AQ46" i="1"/>
  <c r="AQ38" i="1"/>
  <c r="AQ56" i="1"/>
  <c r="AQ67" i="1"/>
  <c r="AQ41" i="1"/>
  <c r="AQ63" i="1"/>
  <c r="AQ74" i="1"/>
  <c r="AQ57" i="1"/>
  <c r="AQ49" i="1"/>
  <c r="AQ40" i="1"/>
  <c r="AQ31" i="1"/>
  <c r="AQ65" i="1"/>
  <c r="AQ76" i="1"/>
  <c r="AQ52" i="1"/>
  <c r="AQ58" i="1"/>
  <c r="AQ55" i="1"/>
  <c r="AQ70" i="1"/>
  <c r="AQ48" i="1"/>
  <c r="AQ62" i="1"/>
  <c r="AQ69" i="1"/>
  <c r="AQ34" i="1"/>
  <c r="AQ53" i="1"/>
  <c r="AQ72" i="1"/>
  <c r="AP28" i="1"/>
  <c r="AQ28" i="1" s="1"/>
  <c r="AQ77" i="1"/>
  <c r="AE134" i="1" l="1"/>
  <c r="AA135" i="1"/>
  <c r="Z135" i="1"/>
  <c r="AB135" i="1" s="1"/>
  <c r="O151" i="1"/>
  <c r="P151" i="1" s="1"/>
  <c r="AS28" i="1" a="1"/>
  <c r="AF134" i="1"/>
  <c r="AG134" i="1"/>
  <c r="AB57" i="1"/>
  <c r="AE57" i="1" s="1"/>
  <c r="AQ29" i="1"/>
  <c r="AR77" i="1" s="1" a="1"/>
  <c r="AR77" i="1" s="1"/>
  <c r="AT65" i="1" l="1"/>
  <c r="AT77" i="1"/>
  <c r="AT67" i="1"/>
  <c r="AT76" i="1"/>
  <c r="AT62" i="1"/>
  <c r="AT63" i="1"/>
  <c r="AT73" i="1"/>
  <c r="AT69" i="1"/>
  <c r="AT59" i="1"/>
  <c r="AT74" i="1"/>
  <c r="AT66" i="1"/>
  <c r="AT58" i="1"/>
  <c r="AT72" i="1"/>
  <c r="AT61" i="1"/>
  <c r="AT68" i="1"/>
  <c r="AT60" i="1"/>
  <c r="AT75" i="1"/>
  <c r="AT64" i="1"/>
  <c r="AT71" i="1"/>
  <c r="AT70" i="1"/>
  <c r="AT54" i="1"/>
  <c r="AT50" i="1"/>
  <c r="AT56" i="1"/>
  <c r="AT49" i="1"/>
  <c r="AT53" i="1"/>
  <c r="AT51" i="1"/>
  <c r="AT55" i="1"/>
  <c r="AT57" i="1"/>
  <c r="AT48" i="1"/>
  <c r="AT52" i="1"/>
  <c r="AT41" i="1"/>
  <c r="AT47" i="1"/>
  <c r="AT43" i="1"/>
  <c r="AT38" i="1"/>
  <c r="AT39" i="1"/>
  <c r="AT46" i="1"/>
  <c r="AT45" i="1"/>
  <c r="AT40" i="1"/>
  <c r="AT42" i="1"/>
  <c r="AT44" i="1"/>
  <c r="AE135" i="1"/>
  <c r="X136" i="1"/>
  <c r="AC135" i="1"/>
  <c r="AD135" i="1" s="1"/>
  <c r="AT31" i="1"/>
  <c r="AT34" i="1"/>
  <c r="AT35" i="1"/>
  <c r="AT30" i="1"/>
  <c r="AT32" i="1"/>
  <c r="AS28" i="1"/>
  <c r="AT28" i="1" s="1"/>
  <c r="AT36" i="1"/>
  <c r="AT33" i="1"/>
  <c r="AT37" i="1"/>
  <c r="AR72" i="1" a="1"/>
  <c r="AR72" i="1" s="1"/>
  <c r="AR78" i="1" a="1"/>
  <c r="AR78" i="1" s="1"/>
  <c r="AR59" i="1" a="1"/>
  <c r="AR59" i="1" s="1"/>
  <c r="AR46" i="1" a="1"/>
  <c r="AR46" i="1" s="1"/>
  <c r="AR37" i="1" a="1"/>
  <c r="AR37" i="1" s="1"/>
  <c r="AR31" i="1" a="1"/>
  <c r="AR31" i="1" s="1"/>
  <c r="AR76" i="1" a="1"/>
  <c r="AR76" i="1" s="1"/>
  <c r="AR71" i="1" a="1"/>
  <c r="AR71" i="1" s="1"/>
  <c r="AR68" i="1" a="1"/>
  <c r="AR68" i="1" s="1"/>
  <c r="AR60" i="1" a="1"/>
  <c r="AR60" i="1" s="1"/>
  <c r="AR55" i="1" a="1"/>
  <c r="AR55" i="1" s="1"/>
  <c r="AR64" i="1" a="1"/>
  <c r="AR64" i="1" s="1"/>
  <c r="AR33" i="1" a="1"/>
  <c r="AR33" i="1" s="1"/>
  <c r="AR28" i="1" a="1"/>
  <c r="AR28" i="1" s="1"/>
  <c r="AR52" i="1" a="1"/>
  <c r="AR52" i="1" s="1"/>
  <c r="AR38" i="1" a="1"/>
  <c r="AR38" i="1" s="1"/>
  <c r="AR67" i="1" a="1"/>
  <c r="AR67" i="1" s="1"/>
  <c r="AR74" i="1" a="1"/>
  <c r="AR74" i="1" s="1"/>
  <c r="AR49" i="1" a="1"/>
  <c r="AR49" i="1" s="1"/>
  <c r="AR50" i="1" a="1"/>
  <c r="AR50" i="1" s="1"/>
  <c r="AR56" i="1" a="1"/>
  <c r="AR56" i="1" s="1"/>
  <c r="AR61" i="1" a="1"/>
  <c r="AR61" i="1" s="1"/>
  <c r="AR44" i="1" a="1"/>
  <c r="AR44" i="1" s="1"/>
  <c r="AR30" i="1" a="1"/>
  <c r="AR30" i="1" s="1"/>
  <c r="AR40" i="1" a="1"/>
  <c r="AR40" i="1" s="1"/>
  <c r="AR73" i="1" a="1"/>
  <c r="AR73" i="1" s="1"/>
  <c r="AR29" i="1" a="1"/>
  <c r="AR29" i="1" s="1"/>
  <c r="AR63" i="1" a="1"/>
  <c r="AR63" i="1" s="1"/>
  <c r="AR45" i="1" a="1"/>
  <c r="AR45" i="1" s="1"/>
  <c r="AR48" i="1" a="1"/>
  <c r="AR48" i="1" s="1"/>
  <c r="AR70" i="1" a="1"/>
  <c r="AR70" i="1" s="1"/>
  <c r="AR39" i="1" a="1"/>
  <c r="AR39" i="1" s="1"/>
  <c r="AR65" i="1" a="1"/>
  <c r="AR65" i="1" s="1"/>
  <c r="AR57" i="1" a="1"/>
  <c r="AR57" i="1" s="1"/>
  <c r="AR43" i="1" a="1"/>
  <c r="AR43" i="1" s="1"/>
  <c r="AR69" i="1" a="1"/>
  <c r="AR69" i="1" s="1"/>
  <c r="AR62" i="1" a="1"/>
  <c r="AR62" i="1" s="1"/>
  <c r="AR41" i="1" a="1"/>
  <c r="AR41" i="1" s="1"/>
  <c r="AR58" i="1" a="1"/>
  <c r="AR58" i="1" s="1"/>
  <c r="AC57" i="1"/>
  <c r="AD57" i="1" s="1"/>
  <c r="X58" i="1"/>
  <c r="AR47" i="1" a="1"/>
  <c r="AR47" i="1" s="1"/>
  <c r="AR35" i="1" a="1"/>
  <c r="AR35" i="1" s="1"/>
  <c r="AR42" i="1" a="1"/>
  <c r="AR42" i="1" s="1"/>
  <c r="AR34" i="1" a="1"/>
  <c r="AR34" i="1" s="1"/>
  <c r="AR32" i="1" a="1"/>
  <c r="AR32" i="1" s="1"/>
  <c r="AR66" i="1" a="1"/>
  <c r="AR66" i="1" s="1"/>
  <c r="AR53" i="1" a="1"/>
  <c r="AR53" i="1" s="1"/>
  <c r="AR36" i="1" a="1"/>
  <c r="AR36" i="1" s="1"/>
  <c r="AR75" i="1" a="1"/>
  <c r="AR75" i="1" s="1"/>
  <c r="AR54" i="1" a="1"/>
  <c r="AR54" i="1" s="1"/>
  <c r="AR51" i="1" a="1"/>
  <c r="AR51" i="1" s="1"/>
  <c r="AT29" i="1" l="1"/>
  <c r="AU58" i="1" s="1" a="1"/>
  <c r="AU58" i="1" s="1"/>
  <c r="AU55" i="1" a="1"/>
  <c r="AU55" i="1" s="1"/>
  <c r="AU33" i="1" a="1"/>
  <c r="AU33" i="1" s="1"/>
  <c r="AU30" i="1" a="1"/>
  <c r="AU30" i="1" s="1"/>
  <c r="AU73" i="1" a="1"/>
  <c r="AU73" i="1" s="1"/>
  <c r="AU41" i="1" a="1"/>
  <c r="AU41" i="1" s="1"/>
  <c r="AU47" i="1" a="1"/>
  <c r="AU47" i="1" s="1"/>
  <c r="AU43" i="1" a="1"/>
  <c r="AU43" i="1" s="1"/>
  <c r="AU76" i="1" a="1"/>
  <c r="AU76" i="1" s="1"/>
  <c r="AU60" i="1" a="1"/>
  <c r="AU60" i="1" s="1"/>
  <c r="AU65" i="1" a="1"/>
  <c r="AU65" i="1" s="1"/>
  <c r="AU49" i="1" a="1"/>
  <c r="AU49" i="1" s="1"/>
  <c r="AU38" i="1" a="1"/>
  <c r="AU38" i="1" s="1"/>
  <c r="AU61" i="1" a="1"/>
  <c r="AU61" i="1" s="1"/>
  <c r="AU28" i="1" a="1"/>
  <c r="AU28" i="1" s="1"/>
  <c r="AU46" i="1" a="1"/>
  <c r="AU46" i="1" s="1"/>
  <c r="AU32" i="1" a="1"/>
  <c r="AU32" i="1" s="1"/>
  <c r="AU75" i="1" a="1"/>
  <c r="AU75" i="1" s="1"/>
  <c r="AU36" i="1" a="1"/>
  <c r="AU36" i="1" s="1"/>
  <c r="AU44" i="1" a="1"/>
  <c r="AU44" i="1" s="1"/>
  <c r="AU37" i="1" a="1"/>
  <c r="AU37" i="1" s="1"/>
  <c r="AU50" i="1" a="1"/>
  <c r="AU50" i="1" s="1"/>
  <c r="AU29" i="1" a="1"/>
  <c r="AU29" i="1" s="1"/>
  <c r="AU66" i="1" a="1"/>
  <c r="AU66" i="1" s="1"/>
  <c r="AU34" i="1" a="1"/>
  <c r="AU34" i="1" s="1"/>
  <c r="AU63" i="1" a="1"/>
  <c r="AU63" i="1" s="1"/>
  <c r="AU31" i="1" a="1"/>
  <c r="AU31" i="1" s="1"/>
  <c r="AU35" i="1" a="1"/>
  <c r="AU35" i="1" s="1"/>
  <c r="AU59" i="1" a="1"/>
  <c r="AU59" i="1" s="1"/>
  <c r="AU56" i="1" a="1"/>
  <c r="AU56" i="1" s="1"/>
  <c r="AU40" i="1" a="1"/>
  <c r="AU40" i="1" s="1"/>
  <c r="AU42" i="1" a="1"/>
  <c r="AU42" i="1" s="1"/>
  <c r="AU39" i="1" a="1"/>
  <c r="AU39" i="1" s="1"/>
  <c r="AU48" i="1" a="1"/>
  <c r="AU48" i="1" s="1"/>
  <c r="AU57" i="1" a="1"/>
  <c r="AU57" i="1" s="1"/>
  <c r="AU69" i="1" a="1"/>
  <c r="AU69" i="1" s="1"/>
  <c r="AU68" i="1" a="1"/>
  <c r="AU68" i="1" s="1"/>
  <c r="AU64" i="1" a="1"/>
  <c r="AU64" i="1" s="1"/>
  <c r="AU70" i="1" a="1"/>
  <c r="AU70" i="1" s="1"/>
  <c r="AU52" i="1" a="1"/>
  <c r="AU52" i="1" s="1"/>
  <c r="AU54" i="1" a="1"/>
  <c r="AU54" i="1" s="1"/>
  <c r="AU53" i="1" a="1"/>
  <c r="AU53" i="1" s="1"/>
  <c r="AU51" i="1" a="1"/>
  <c r="AU51" i="1" s="1"/>
  <c r="AU74" i="1" a="1"/>
  <c r="AU74" i="1" s="1"/>
  <c r="AU77" i="1" a="1"/>
  <c r="AU77" i="1" s="1"/>
  <c r="AU45" i="1" a="1"/>
  <c r="AU45" i="1" s="1"/>
  <c r="AU71" i="1" a="1"/>
  <c r="AU71" i="1" s="1"/>
  <c r="AG135" i="1"/>
  <c r="AF135" i="1"/>
  <c r="Y136" i="1"/>
  <c r="AU62" i="1" a="1"/>
  <c r="AU62" i="1" s="1"/>
  <c r="AF57" i="1"/>
  <c r="AG57" i="1"/>
  <c r="Y58" i="1"/>
  <c r="AU67" i="1" l="1" a="1"/>
  <c r="AU67" i="1" s="1"/>
  <c r="AU72" i="1" a="1"/>
  <c r="AU72" i="1" s="1"/>
  <c r="AA136" i="1"/>
  <c r="Z136" i="1"/>
  <c r="AH57" i="1"/>
  <c r="Z58" i="1"/>
  <c r="AA58" i="1"/>
  <c r="AB136" i="1" l="1"/>
  <c r="AE136" i="1"/>
  <c r="X137" i="1"/>
  <c r="AC136" i="1"/>
  <c r="AD136" i="1" s="1"/>
  <c r="AB58" i="1"/>
  <c r="AE58" i="1" s="1"/>
  <c r="AG136" i="1" l="1"/>
  <c r="AF136" i="1"/>
  <c r="Y137" i="1"/>
  <c r="AC58" i="1"/>
  <c r="AD58" i="1" s="1"/>
  <c r="X59" i="1"/>
  <c r="AA137" i="1" l="1"/>
  <c r="Z137" i="1"/>
  <c r="AB137" i="1" s="1"/>
  <c r="AF58" i="1"/>
  <c r="AG58" i="1"/>
  <c r="Y59" i="1"/>
  <c r="AE137" i="1" l="1"/>
  <c r="AC137" i="1"/>
  <c r="AD137" i="1" s="1"/>
  <c r="X138" i="1"/>
  <c r="AH58" i="1"/>
  <c r="Z59" i="1"/>
  <c r="AA59" i="1"/>
  <c r="Y138" i="1" l="1"/>
  <c r="AG137" i="1"/>
  <c r="AF137" i="1"/>
  <c r="AB59" i="1"/>
  <c r="AE59" i="1" s="1"/>
  <c r="Z138" i="1" l="1"/>
  <c r="AA138" i="1"/>
  <c r="AC59" i="1"/>
  <c r="AD59" i="1" s="1"/>
  <c r="X60" i="1"/>
  <c r="AB138" i="1" l="1"/>
  <c r="AE138" i="1" s="1"/>
  <c r="AF59" i="1"/>
  <c r="AG59" i="1"/>
  <c r="Y60" i="1"/>
  <c r="AC138" i="1" l="1"/>
  <c r="AD138" i="1" s="1"/>
  <c r="X139" i="1"/>
  <c r="Y139" i="1"/>
  <c r="AF138" i="1"/>
  <c r="AG138" i="1"/>
  <c r="AH59" i="1"/>
  <c r="Z60" i="1"/>
  <c r="AA60" i="1"/>
  <c r="Z139" i="1" l="1"/>
  <c r="AA139" i="1"/>
  <c r="AB60" i="1"/>
  <c r="AE60" i="1" s="1"/>
  <c r="AB139" i="1" l="1"/>
  <c r="AC60" i="1"/>
  <c r="AD60" i="1" s="1"/>
  <c r="X61" i="1"/>
  <c r="AE139" i="1" l="1"/>
  <c r="X140" i="1"/>
  <c r="AC139" i="1"/>
  <c r="AD139" i="1" s="1"/>
  <c r="AF60" i="1"/>
  <c r="AG60" i="1"/>
  <c r="Y61" i="1"/>
  <c r="Y140" i="1" l="1"/>
  <c r="AF139" i="1"/>
  <c r="AG139" i="1"/>
  <c r="AH60" i="1"/>
  <c r="Z61" i="1"/>
  <c r="AA61" i="1"/>
  <c r="Z140" i="1" l="1"/>
  <c r="AA140" i="1"/>
  <c r="AB61" i="1"/>
  <c r="AE61" i="1" s="1"/>
  <c r="AB140" i="1" l="1"/>
  <c r="AC61" i="1"/>
  <c r="AD61" i="1" s="1"/>
  <c r="X62" i="1"/>
  <c r="AE140" i="1" l="1"/>
  <c r="X141" i="1"/>
  <c r="AC140" i="1"/>
  <c r="AD140" i="1" s="1"/>
  <c r="AF61" i="1"/>
  <c r="AG61" i="1"/>
  <c r="Y62" i="1"/>
  <c r="Y141" i="1" l="1"/>
  <c r="AG140" i="1"/>
  <c r="AF140" i="1"/>
  <c r="AH61" i="1"/>
  <c r="Z62" i="1"/>
  <c r="AA62" i="1"/>
  <c r="Z141" i="1" l="1"/>
  <c r="AA141" i="1"/>
  <c r="AB62" i="1"/>
  <c r="AE62" i="1" s="1"/>
  <c r="AB141" i="1" l="1"/>
  <c r="AC62" i="1"/>
  <c r="AD62" i="1" s="1"/>
  <c r="X63" i="1"/>
  <c r="AE141" i="1" l="1"/>
  <c r="X142" i="1"/>
  <c r="AC141" i="1"/>
  <c r="AD141" i="1" s="1"/>
  <c r="AF62" i="1"/>
  <c r="AG62" i="1"/>
  <c r="Y63" i="1"/>
  <c r="AG141" i="1" l="1"/>
  <c r="AF141" i="1"/>
  <c r="Y142" i="1"/>
  <c r="AH62" i="1"/>
  <c r="Z63" i="1"/>
  <c r="AA63" i="1"/>
  <c r="Z142" i="1" l="1"/>
  <c r="AA142" i="1"/>
  <c r="AB63" i="1"/>
  <c r="AE63" i="1" s="1"/>
  <c r="AB142" i="1" l="1"/>
  <c r="AE142" i="1"/>
  <c r="X143" i="1"/>
  <c r="AC142" i="1"/>
  <c r="AD142" i="1" s="1"/>
  <c r="AC63" i="1"/>
  <c r="AD63" i="1" s="1"/>
  <c r="X64" i="1"/>
  <c r="AF142" i="1" l="1"/>
  <c r="AG142" i="1"/>
  <c r="Y143" i="1"/>
  <c r="AF63" i="1"/>
  <c r="AG63" i="1"/>
  <c r="Y64" i="1"/>
  <c r="AA143" i="1" l="1"/>
  <c r="Z143" i="1"/>
  <c r="AB143" i="1" s="1"/>
  <c r="AH63" i="1"/>
  <c r="Z64" i="1"/>
  <c r="AA64" i="1"/>
  <c r="AE143" i="1" l="1"/>
  <c r="X144" i="1"/>
  <c r="AC143" i="1"/>
  <c r="AD143" i="1" s="1"/>
  <c r="AB64" i="1"/>
  <c r="AE64" i="1" s="1"/>
  <c r="AG143" i="1" l="1"/>
  <c r="AF143" i="1"/>
  <c r="Y144" i="1"/>
  <c r="AC64" i="1"/>
  <c r="AD64" i="1" s="1"/>
  <c r="X65" i="1"/>
  <c r="Z144" i="1" l="1"/>
  <c r="AA144" i="1"/>
  <c r="AF64" i="1"/>
  <c r="AG64" i="1"/>
  <c r="Y65" i="1"/>
  <c r="AB144" i="1" l="1"/>
  <c r="AH64" i="1"/>
  <c r="Z65" i="1"/>
  <c r="AA65" i="1"/>
  <c r="AE144" i="1" l="1"/>
  <c r="AC144" i="1"/>
  <c r="AD144" i="1" s="1"/>
  <c r="X145" i="1"/>
  <c r="AB65" i="1"/>
  <c r="AE65" i="1" s="1"/>
  <c r="Y145" i="1" l="1"/>
  <c r="AG144" i="1"/>
  <c r="AF144" i="1"/>
  <c r="AC65" i="1"/>
  <c r="AD65" i="1" s="1"/>
  <c r="X66" i="1"/>
  <c r="AA145" i="1" l="1"/>
  <c r="Z145" i="1"/>
  <c r="AF65" i="1"/>
  <c r="AG65" i="1"/>
  <c r="Y66" i="1"/>
  <c r="AB145" i="1" l="1"/>
  <c r="AE145" i="1"/>
  <c r="X146" i="1"/>
  <c r="AC145" i="1"/>
  <c r="AD145" i="1" s="1"/>
  <c r="AH65" i="1"/>
  <c r="Z66" i="1"/>
  <c r="AA66" i="1"/>
  <c r="AG145" i="1" l="1"/>
  <c r="AF145" i="1"/>
  <c r="Y146" i="1"/>
  <c r="AB66" i="1"/>
  <c r="AE66" i="1" s="1"/>
  <c r="AA146" i="1" l="1"/>
  <c r="Z146" i="1"/>
  <c r="AB146" i="1" s="1"/>
  <c r="AC66" i="1"/>
  <c r="AD66" i="1" s="1"/>
  <c r="X67" i="1"/>
  <c r="AE146" i="1" l="1"/>
  <c r="X147" i="1"/>
  <c r="AC146" i="1"/>
  <c r="AD146" i="1" s="1"/>
  <c r="AF66" i="1"/>
  <c r="AG66" i="1"/>
  <c r="Y67" i="1"/>
  <c r="Y147" i="1" l="1"/>
  <c r="AF146" i="1"/>
  <c r="AG146" i="1"/>
  <c r="AH66" i="1"/>
  <c r="Z67" i="1"/>
  <c r="AA67" i="1"/>
  <c r="Z147" i="1" l="1"/>
  <c r="AA147" i="1"/>
  <c r="AB67" i="1"/>
  <c r="AE67" i="1" s="1"/>
  <c r="AB147" i="1" l="1"/>
  <c r="AC67" i="1"/>
  <c r="AD67" i="1" s="1"/>
  <c r="X68" i="1"/>
  <c r="AE147" i="1" l="1"/>
  <c r="AC147" i="1"/>
  <c r="AD147" i="1" s="1"/>
  <c r="X148" i="1"/>
  <c r="AF67" i="1"/>
  <c r="AG67" i="1"/>
  <c r="Y68" i="1"/>
  <c r="Y148" i="1" l="1"/>
  <c r="AF147" i="1"/>
  <c r="AG147" i="1"/>
  <c r="AH67" i="1"/>
  <c r="Z68" i="1"/>
  <c r="AA68" i="1"/>
  <c r="Z148" i="1" l="1"/>
  <c r="AA148" i="1"/>
  <c r="AB68" i="1"/>
  <c r="AE68" i="1" s="1"/>
  <c r="AB148" i="1" l="1"/>
  <c r="AE148" i="1"/>
  <c r="AC148" i="1"/>
  <c r="AD148" i="1" s="1"/>
  <c r="X149" i="1"/>
  <c r="AC68" i="1"/>
  <c r="AD68" i="1" s="1"/>
  <c r="X69" i="1"/>
  <c r="Y149" i="1" l="1"/>
  <c r="AF148" i="1"/>
  <c r="AG148" i="1"/>
  <c r="AF68" i="1"/>
  <c r="AG68" i="1"/>
  <c r="Y69" i="1"/>
  <c r="Z149" i="1" l="1"/>
  <c r="AA149" i="1"/>
  <c r="AH68" i="1"/>
  <c r="Z69" i="1"/>
  <c r="AA69" i="1"/>
  <c r="AB149" i="1" l="1"/>
  <c r="AB69" i="1"/>
  <c r="AE69" i="1" s="1"/>
  <c r="AE149" i="1" l="1"/>
  <c r="AC149" i="1"/>
  <c r="AD149" i="1" s="1"/>
  <c r="X150" i="1"/>
  <c r="AC69" i="1"/>
  <c r="AD69" i="1" s="1"/>
  <c r="X70" i="1"/>
  <c r="Y150" i="1" l="1"/>
  <c r="AF149" i="1"/>
  <c r="AG149" i="1"/>
  <c r="AF69" i="1"/>
  <c r="AG69" i="1"/>
  <c r="Y70" i="1"/>
  <c r="AA150" i="1" l="1"/>
  <c r="Z150" i="1"/>
  <c r="AB150" i="1" s="1"/>
  <c r="AH69" i="1"/>
  <c r="Z70" i="1"/>
  <c r="AA70" i="1"/>
  <c r="AE150" i="1" l="1"/>
  <c r="AC150" i="1"/>
  <c r="AD150" i="1" s="1"/>
  <c r="X151" i="1"/>
  <c r="AB70" i="1"/>
  <c r="AE70" i="1" s="1"/>
  <c r="Y151" i="1" l="1"/>
  <c r="AG150" i="1"/>
  <c r="AF150" i="1"/>
  <c r="AC70" i="1"/>
  <c r="AD70" i="1" s="1"/>
  <c r="X71" i="1"/>
  <c r="Z151" i="1" l="1"/>
  <c r="AA151" i="1"/>
  <c r="AF70" i="1"/>
  <c r="AG70" i="1"/>
  <c r="Y71" i="1"/>
  <c r="AB151" i="1" l="1"/>
  <c r="AH70" i="1"/>
  <c r="Z71" i="1"/>
  <c r="AA71" i="1"/>
  <c r="AE151" i="1" l="1"/>
  <c r="AC151" i="1"/>
  <c r="AD151" i="1" s="1"/>
  <c r="AB71" i="1"/>
  <c r="AE71" i="1" s="1"/>
  <c r="AF151" i="1" l="1"/>
  <c r="AG151" i="1"/>
  <c r="AC71" i="1"/>
  <c r="AD71" i="1" s="1"/>
  <c r="X72" i="1"/>
  <c r="AF71" i="1" l="1"/>
  <c r="AG71" i="1"/>
  <c r="Y72" i="1"/>
  <c r="AH71" i="1" l="1"/>
  <c r="Z72" i="1"/>
  <c r="AA72" i="1"/>
  <c r="AB72" i="1" l="1"/>
  <c r="AE72" i="1" s="1"/>
  <c r="AC72" i="1" l="1"/>
  <c r="AD72" i="1" s="1"/>
  <c r="X73" i="1"/>
  <c r="AF72" i="1" l="1"/>
  <c r="AG72" i="1"/>
  <c r="Y73" i="1"/>
  <c r="AH72" i="1" l="1"/>
  <c r="Z73" i="1"/>
  <c r="AA73" i="1"/>
  <c r="AB73" i="1" l="1"/>
  <c r="AE73" i="1" s="1"/>
  <c r="AC73" i="1" l="1"/>
  <c r="AD73" i="1" s="1"/>
  <c r="X74" i="1"/>
  <c r="AF73" i="1" l="1"/>
  <c r="AG73" i="1"/>
  <c r="Y74" i="1"/>
  <c r="AH73" i="1" l="1"/>
  <c r="Z74" i="1"/>
  <c r="AA74" i="1"/>
  <c r="AB74" i="1" l="1"/>
  <c r="AE74" i="1" s="1"/>
  <c r="AC74" i="1" l="1"/>
  <c r="AD74" i="1" s="1"/>
  <c r="X75" i="1"/>
  <c r="AF74" i="1" l="1"/>
  <c r="AG74" i="1"/>
  <c r="Y75" i="1"/>
  <c r="AH74" i="1" l="1"/>
  <c r="Z75" i="1"/>
  <c r="AA75" i="1"/>
  <c r="AB75" i="1" l="1"/>
  <c r="AE75" i="1" s="1"/>
  <c r="AC75" i="1" l="1"/>
  <c r="AD75" i="1" s="1"/>
  <c r="X76" i="1"/>
  <c r="AF75" i="1" l="1"/>
  <c r="AG75" i="1"/>
  <c r="Y76" i="1"/>
  <c r="AH75" i="1" l="1"/>
  <c r="Z76" i="1"/>
  <c r="AA76" i="1"/>
  <c r="AB76" i="1" l="1"/>
  <c r="AE76" i="1" s="1"/>
  <c r="AC76" i="1" l="1"/>
  <c r="AD76" i="1" s="1"/>
  <c r="X77" i="1"/>
  <c r="AF76" i="1" l="1"/>
  <c r="AG76" i="1"/>
  <c r="Y77" i="1"/>
  <c r="AH76" i="1" l="1"/>
  <c r="Z77" i="1"/>
  <c r="AA77" i="1"/>
  <c r="AB77" i="1" l="1"/>
  <c r="AE77" i="1" s="1"/>
  <c r="AC77" i="1" l="1"/>
  <c r="AD77" i="1" s="1"/>
  <c r="AG77" i="1" s="1"/>
  <c r="X78" i="1"/>
  <c r="Y78" i="1" s="1"/>
  <c r="AF77" i="1" l="1"/>
  <c r="AH77" i="1" s="1"/>
  <c r="B32" i="1" s="1" a="1"/>
  <c r="B32" i="1" s="1"/>
  <c r="Z78" i="1"/>
  <c r="AA78" i="1"/>
  <c r="AB78" i="1" l="1"/>
  <c r="AE78" i="1" l="1"/>
  <c r="AV28" i="1" a="1"/>
  <c r="AC78" i="1"/>
  <c r="AV28" i="1" l="1"/>
  <c r="AW28" i="1" s="1"/>
  <c r="AW74" i="1"/>
  <c r="AW71" i="1"/>
  <c r="AW70" i="1"/>
  <c r="AW63" i="1"/>
  <c r="AW68" i="1"/>
  <c r="AW65" i="1"/>
  <c r="AW76" i="1"/>
  <c r="AW73" i="1"/>
  <c r="AW64" i="1"/>
  <c r="AW60" i="1"/>
  <c r="AW72" i="1"/>
  <c r="AW58" i="1"/>
  <c r="AW75" i="1"/>
  <c r="AW69" i="1"/>
  <c r="AW61" i="1"/>
  <c r="AW59" i="1"/>
  <c r="AW62" i="1"/>
  <c r="AW66" i="1"/>
  <c r="AW67" i="1"/>
  <c r="AW77" i="1"/>
  <c r="AD78" i="1"/>
  <c r="AW55" i="1"/>
  <c r="AW38" i="1"/>
  <c r="AW36" i="1"/>
  <c r="AW35" i="1"/>
  <c r="AW44" i="1"/>
  <c r="AW53" i="1"/>
  <c r="AW48" i="1"/>
  <c r="AW49" i="1"/>
  <c r="AW47" i="1"/>
  <c r="AW50" i="1"/>
  <c r="AW40" i="1"/>
  <c r="AW39" i="1"/>
  <c r="AW45" i="1"/>
  <c r="AW41" i="1"/>
  <c r="AW56" i="1"/>
  <c r="AW43" i="1"/>
  <c r="AW31" i="1"/>
  <c r="AW34" i="1"/>
  <c r="AW33" i="1"/>
  <c r="AW46" i="1"/>
  <c r="AW54" i="1"/>
  <c r="AW51" i="1"/>
  <c r="AW52" i="1"/>
  <c r="AW32" i="1"/>
  <c r="AW30" i="1"/>
  <c r="AW42" i="1"/>
  <c r="AW37" i="1"/>
  <c r="AW57" i="1"/>
  <c r="AF78" i="1" l="1"/>
  <c r="AG78" i="1"/>
  <c r="AH141" i="1"/>
  <c r="AW29" i="1"/>
  <c r="BA48" i="1" s="1" a="1"/>
  <c r="BA48" i="1" s="1"/>
  <c r="AX33" i="1" a="1"/>
  <c r="AX33" i="1" s="1"/>
  <c r="BA60" i="1" a="1"/>
  <c r="BA60" i="1" s="1"/>
  <c r="AH78" i="1" l="1"/>
  <c r="AX31" i="1" a="1"/>
  <c r="AX31" i="1" s="1"/>
  <c r="AX57" i="1" a="1"/>
  <c r="AX57" i="1" s="1"/>
  <c r="AX49" i="1" a="1"/>
  <c r="AX49" i="1" s="1"/>
  <c r="BA61" i="1" a="1"/>
  <c r="BA61" i="1" s="1"/>
  <c r="BA66" i="1" a="1"/>
  <c r="BA66" i="1" s="1"/>
  <c r="AX54" i="1" a="1"/>
  <c r="AX54" i="1" s="1"/>
  <c r="BA45" i="1" a="1"/>
  <c r="BA45" i="1" s="1"/>
  <c r="BA75" i="1" a="1"/>
  <c r="BA75" i="1" s="1"/>
  <c r="BA46" i="1" a="1"/>
  <c r="BA46" i="1" s="1"/>
  <c r="BA42" i="1" a="1"/>
  <c r="BA42" i="1" s="1"/>
  <c r="BA41" i="1" a="1"/>
  <c r="BA41" i="1" s="1"/>
  <c r="AX48" i="1" a="1"/>
  <c r="AX48" i="1" s="1"/>
  <c r="AX65" i="1" a="1"/>
  <c r="AX65" i="1" s="1"/>
  <c r="AX45" i="1" a="1"/>
  <c r="AX45" i="1" s="1"/>
  <c r="AX36" i="1" a="1"/>
  <c r="AX36" i="1" s="1"/>
  <c r="AX62" i="1" a="1"/>
  <c r="AX62" i="1" s="1"/>
  <c r="AX74" i="1" a="1"/>
  <c r="AX74" i="1" s="1"/>
  <c r="AX35" i="1" a="1"/>
  <c r="AX35" i="1" s="1"/>
  <c r="AX50" i="1" a="1"/>
  <c r="AX50" i="1" s="1"/>
  <c r="BA53" i="1" a="1"/>
  <c r="BA53" i="1" s="1"/>
  <c r="BA72" i="1" a="1"/>
  <c r="BA72" i="1" s="1"/>
  <c r="BA40" i="1" a="1"/>
  <c r="BA40" i="1" s="1"/>
  <c r="BA43" i="1" a="1"/>
  <c r="BA43" i="1" s="1"/>
  <c r="BA59" i="1" a="1"/>
  <c r="BA59" i="1" s="1"/>
  <c r="BA54" i="1" a="1"/>
  <c r="BA54" i="1" s="1"/>
  <c r="AX66" i="1" a="1"/>
  <c r="AX66" i="1" s="1"/>
  <c r="AX69" i="1" a="1"/>
  <c r="AX69" i="1" s="1"/>
  <c r="AX34" i="1" a="1"/>
  <c r="AX34" i="1" s="1"/>
  <c r="AX75" i="1" a="1"/>
  <c r="AX75" i="1" s="1"/>
  <c r="AH117" i="1"/>
  <c r="AH120" i="1"/>
  <c r="AH128" i="1"/>
  <c r="AH130" i="1"/>
  <c r="AH104" i="1"/>
  <c r="AH126" i="1"/>
  <c r="AH124" i="1"/>
  <c r="AH151" i="1"/>
  <c r="AH121" i="1"/>
  <c r="AH131" i="1"/>
  <c r="AH122" i="1"/>
  <c r="AH125" i="1"/>
  <c r="AH138" i="1"/>
  <c r="AH111" i="1"/>
  <c r="AH137" i="1"/>
  <c r="AH119" i="1"/>
  <c r="AH142" i="1"/>
  <c r="AH148" i="1"/>
  <c r="AH129" i="1"/>
  <c r="AH123" i="1"/>
  <c r="AH116" i="1"/>
  <c r="AH103" i="1"/>
  <c r="AH144" i="1"/>
  <c r="AH146" i="1"/>
  <c r="AH114" i="1"/>
  <c r="AH143" i="1"/>
  <c r="AX44" i="1" a="1"/>
  <c r="AX44" i="1" s="1"/>
  <c r="AH149" i="1"/>
  <c r="AH127" i="1"/>
  <c r="AH101" i="1"/>
  <c r="AH140" i="1"/>
  <c r="AH113" i="1"/>
  <c r="AH110" i="1"/>
  <c r="AH102" i="1"/>
  <c r="AH106" i="1"/>
  <c r="AH134" i="1"/>
  <c r="AH132" i="1"/>
  <c r="AH118" i="1"/>
  <c r="AH112" i="1"/>
  <c r="AH109" i="1"/>
  <c r="AH133" i="1"/>
  <c r="AH139" i="1"/>
  <c r="AH147" i="1"/>
  <c r="AH105" i="1"/>
  <c r="AH145" i="1"/>
  <c r="AH150" i="1"/>
  <c r="AH136" i="1"/>
  <c r="AH107" i="1"/>
  <c r="AH135" i="1"/>
  <c r="AH115" i="1"/>
  <c r="AH108" i="1"/>
  <c r="AX46" i="1" a="1"/>
  <c r="AX46" i="1" s="1"/>
  <c r="AX41" i="1" a="1"/>
  <c r="AX41" i="1" s="1"/>
  <c r="BA39" i="1" a="1"/>
  <c r="BA39" i="1" s="1"/>
  <c r="AX39" i="1" a="1"/>
  <c r="AX39" i="1" s="1"/>
  <c r="AX63" i="1" a="1"/>
  <c r="AX63" i="1" s="1"/>
  <c r="AX37" i="1" a="1"/>
  <c r="AX37" i="1" s="1"/>
  <c r="BA73" i="1" a="1"/>
  <c r="BA73" i="1" s="1"/>
  <c r="BA71" i="1" a="1"/>
  <c r="BA71" i="1" s="1"/>
  <c r="AX73" i="1" a="1"/>
  <c r="AX73" i="1" s="1"/>
  <c r="AX59" i="1" a="1"/>
  <c r="AX59" i="1" s="1"/>
  <c r="BA65" i="1" a="1"/>
  <c r="BA65" i="1" s="1"/>
  <c r="AX40" i="1" a="1"/>
  <c r="AX40" i="1" s="1"/>
  <c r="BA70" i="1" a="1"/>
  <c r="BA70" i="1" s="1"/>
  <c r="AX68" i="1" a="1"/>
  <c r="AX68" i="1" s="1"/>
  <c r="AX52" i="1" a="1"/>
  <c r="AX52" i="1" s="1"/>
  <c r="BA78" i="1" a="1"/>
  <c r="BA78" i="1" s="1"/>
  <c r="AX47" i="1" a="1"/>
  <c r="AX47" i="1" s="1"/>
  <c r="AX38" i="1" a="1"/>
  <c r="AX38" i="1" s="1"/>
  <c r="AX58" i="1" a="1"/>
  <c r="AX58" i="1" s="1"/>
  <c r="AX71" i="1" a="1"/>
  <c r="AX71" i="1" s="1"/>
  <c r="BA76" i="1" a="1"/>
  <c r="BA76" i="1" s="1"/>
  <c r="AX51" i="1" a="1"/>
  <c r="AX51" i="1" s="1"/>
  <c r="AX78" i="1" a="1"/>
  <c r="AX78" i="1" s="1"/>
  <c r="AX60" i="1" a="1"/>
  <c r="AX60" i="1" s="1"/>
  <c r="AX32" i="1" a="1"/>
  <c r="AX32" i="1" s="1"/>
  <c r="BA56" i="1" a="1"/>
  <c r="BA56" i="1" s="1"/>
  <c r="BA74" i="1" a="1"/>
  <c r="BA74" i="1" s="1"/>
  <c r="AX53" i="1" a="1"/>
  <c r="AX53" i="1" s="1"/>
  <c r="AX77" i="1" a="1"/>
  <c r="AX77" i="1" s="1"/>
  <c r="BA49" i="1" a="1"/>
  <c r="BA49" i="1" s="1"/>
  <c r="BA69" i="1" a="1"/>
  <c r="BA69" i="1" s="1"/>
  <c r="BA50" i="1" a="1"/>
  <c r="BA50" i="1" s="1"/>
  <c r="BA51" i="1" a="1"/>
  <c r="BA51" i="1" s="1"/>
  <c r="AX70" i="1" a="1"/>
  <c r="AX70" i="1" s="1"/>
  <c r="BA38" i="1" a="1"/>
  <c r="BA38" i="1" s="1"/>
  <c r="AX42" i="1" a="1"/>
  <c r="AX42" i="1" s="1"/>
  <c r="AX56" i="1" a="1"/>
  <c r="AX56" i="1" s="1"/>
  <c r="AX28" i="1" a="1"/>
  <c r="AX28" i="1" s="1"/>
  <c r="AX64" i="1" a="1"/>
  <c r="AX64" i="1" s="1"/>
  <c r="AX76" i="1" a="1"/>
  <c r="AX76" i="1" s="1"/>
  <c r="AX30" i="1" a="1"/>
  <c r="AX30" i="1" s="1"/>
  <c r="BA64" i="1" a="1"/>
  <c r="BA64" i="1" s="1"/>
  <c r="AX29" i="1" a="1"/>
  <c r="AX29" i="1" s="1"/>
  <c r="AX67" i="1" a="1"/>
  <c r="AX67" i="1" s="1"/>
  <c r="BA52" i="1" a="1"/>
  <c r="BA52" i="1" s="1"/>
  <c r="BA55" i="1" a="1"/>
  <c r="BA55" i="1" s="1"/>
  <c r="AX43" i="1" a="1"/>
  <c r="AX43" i="1" s="1"/>
  <c r="BA44" i="1" a="1"/>
  <c r="BA44" i="1" s="1"/>
  <c r="AX72" i="1" a="1"/>
  <c r="AX72" i="1" s="1"/>
  <c r="BA62" i="1" a="1"/>
  <c r="BA62" i="1" s="1"/>
  <c r="BA68" i="1" a="1"/>
  <c r="BA68" i="1" s="1"/>
  <c r="AX55" i="1" a="1"/>
  <c r="AX55" i="1" s="1"/>
  <c r="BA58" i="1" a="1"/>
  <c r="BA58" i="1" s="1"/>
  <c r="AX61" i="1" a="1"/>
  <c r="AX61" i="1" s="1"/>
  <c r="BA63" i="1" a="1"/>
  <c r="BA63" i="1" s="1"/>
  <c r="B33" i="1" l="1" a="1"/>
  <c r="B33" i="1" s="1"/>
  <c r="AZ37" i="1" s="1"/>
  <c r="AZ57" i="1"/>
  <c r="BA57" i="1" s="1" a="1"/>
  <c r="BA57" i="1" s="1"/>
  <c r="AZ32" i="1"/>
  <c r="AZ67" i="1"/>
  <c r="AZ77" i="1"/>
  <c r="BA77" i="1" s="1" a="1"/>
  <c r="BA77" i="1" s="1"/>
  <c r="AZ47" i="1" l="1"/>
  <c r="BA47" i="1" s="1" a="1"/>
  <c r="BA47" i="1" s="1"/>
  <c r="BA35" i="1" a="1"/>
  <c r="BA35" i="1" s="1"/>
  <c r="BA37" i="1" a="1"/>
  <c r="BA37" i="1" s="1"/>
  <c r="BA29" i="1" a="1"/>
  <c r="BA29" i="1" s="1"/>
  <c r="BA36" i="1" a="1"/>
  <c r="BA36" i="1" s="1"/>
  <c r="BA30" i="1" a="1"/>
  <c r="BA30" i="1" s="1"/>
  <c r="BA31" i="1" a="1"/>
  <c r="BA31" i="1" s="1"/>
  <c r="BA33" i="1" a="1"/>
  <c r="BA33" i="1" s="1"/>
  <c r="BA67" i="1" a="1"/>
  <c r="BA67" i="1" s="1"/>
  <c r="BA34" i="1" l="1" a="1"/>
  <c r="BA34" i="1" s="1"/>
  <c r="BA28" i="1" a="1"/>
  <c r="BA28" i="1" s="1"/>
  <c r="BA32" i="1" a="1"/>
  <c r="BA3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<sst xmlns="http://schemas.openxmlformats.org/spreadsheetml/2006/main" count="168" uniqueCount="89">
  <si>
    <t xml:space="preserve">
</t>
  </si>
  <si>
    <t>Værdipapirer</t>
  </si>
  <si>
    <t>ETF:</t>
  </si>
  <si>
    <t>Fond:</t>
  </si>
  <si>
    <t>Aktie:</t>
  </si>
  <si>
    <t>iShares Core S&amp;P 500 UCITS</t>
  </si>
  <si>
    <t>Sparindex Globale Aktier KL</t>
  </si>
  <si>
    <t>Tesla, Inc</t>
  </si>
  <si>
    <t>Ticker</t>
  </si>
  <si>
    <t>SXR8</t>
  </si>
  <si>
    <t>SPVIGAKL</t>
  </si>
  <si>
    <t>TSLA</t>
  </si>
  <si>
    <t>Benchmark</t>
  </si>
  <si>
    <t>S&amp;P</t>
  </si>
  <si>
    <t>MSCI ACWI</t>
  </si>
  <si>
    <t>---</t>
  </si>
  <si>
    <t xml:space="preserve"> </t>
  </si>
  <si>
    <t>ÅOP</t>
  </si>
  <si>
    <t>Aktiesparekonto (Saxo Bank) (Tyske ETF'er)</t>
  </si>
  <si>
    <t>Månedsopsparing (Nordnet) (Danske fonde)</t>
  </si>
  <si>
    <t>Udbyttepolitik</t>
  </si>
  <si>
    <t>Akkumulerende</t>
  </si>
  <si>
    <t>Distribuerende</t>
  </si>
  <si>
    <t>Lav Skat</t>
  </si>
  <si>
    <t>Høj Skat</t>
  </si>
  <si>
    <t>Startbeløb:</t>
  </si>
  <si>
    <t>Indskudsloft / Progræssionsgrænse</t>
  </si>
  <si>
    <t>Månedlig indbetaling:</t>
  </si>
  <si>
    <t>Børs</t>
  </si>
  <si>
    <t>Tyske</t>
  </si>
  <si>
    <t>Danske</t>
  </si>
  <si>
    <t>Amerikanske</t>
  </si>
  <si>
    <t>Årligt afkast:</t>
  </si>
  <si>
    <t>Gns. årligt udbytte</t>
  </si>
  <si>
    <t xml:space="preserve">Udbytte: </t>
  </si>
  <si>
    <t>Gns. årligt afkast</t>
  </si>
  <si>
    <t>Købskurtage (% | min.):</t>
  </si>
  <si>
    <t>Salgskurtage (% | min.):</t>
  </si>
  <si>
    <t>Kurtage</t>
  </si>
  <si>
    <t>Saxo Bank:</t>
  </si>
  <si>
    <t>Nordnet:</t>
  </si>
  <si>
    <t>Vekselgebyr (køb):</t>
  </si>
  <si>
    <t>Danske køb</t>
  </si>
  <si>
    <t>Vekselgebyr (salg):</t>
  </si>
  <si>
    <t>Mdl. kurtage:</t>
  </si>
  <si>
    <t>Amerikanske køb</t>
  </si>
  <si>
    <t>ÅOP:</t>
  </si>
  <si>
    <t>Tyske køb (ETF'er)</t>
  </si>
  <si>
    <t>Beskatningstype:</t>
  </si>
  <si>
    <t>Lagerbeskatning</t>
  </si>
  <si>
    <t>Startb. kurtage:</t>
  </si>
  <si>
    <t>Realisationsbeskatning</t>
  </si>
  <si>
    <t>Skat lav:</t>
  </si>
  <si>
    <t>Veksling</t>
  </si>
  <si>
    <t>Skat høj:</t>
  </si>
  <si>
    <t>ASK (auto veksling)</t>
  </si>
  <si>
    <t>Indskudsloft:</t>
  </si>
  <si>
    <t>Progressionsgrænse:</t>
  </si>
  <si>
    <t>Valutakonto</t>
  </si>
  <si>
    <t>Sker kun HVIS man sælger!</t>
  </si>
  <si>
    <t>Tid (år)</t>
  </si>
  <si>
    <t>Investering</t>
  </si>
  <si>
    <t>Investering (i alt)</t>
  </si>
  <si>
    <t>Værdi e. kurtage</t>
  </si>
  <si>
    <t>År Start</t>
  </si>
  <si>
    <t xml:space="preserve">År Slut </t>
  </si>
  <si>
    <t>Skat for året</t>
  </si>
  <si>
    <t>Værdi e. Skat</t>
  </si>
  <si>
    <t>Salgskurtage</t>
  </si>
  <si>
    <t>Værdi e. salg</t>
  </si>
  <si>
    <t>Udbytte</t>
  </si>
  <si>
    <t>Udbytte Skat u. grænse</t>
  </si>
  <si>
    <t>Udbytte Skat o. grænse</t>
  </si>
  <si>
    <t>År Slut</t>
  </si>
  <si>
    <t>Afkast pr. år</t>
  </si>
  <si>
    <t>Afkast i alt</t>
  </si>
  <si>
    <t>Skat u. grænse</t>
  </si>
  <si>
    <t>Skat o. grænse</t>
  </si>
  <si>
    <t>Værdi e. salg og Skat</t>
  </si>
  <si>
    <t>ASK Saxo</t>
  </si>
  <si>
    <t>ASK Nordnet</t>
  </si>
  <si>
    <t>Månedsopsparing</t>
  </si>
  <si>
    <t>Enkelt Aktier Saxo</t>
  </si>
  <si>
    <t>Resultat</t>
  </si>
  <si>
    <t xml:space="preserve">Startbeløb: </t>
  </si>
  <si>
    <t>Mdl. Beløb:</t>
  </si>
  <si>
    <t>År:</t>
  </si>
  <si>
    <t>Aktiesparekonto (Nordnet) (Tyske ETF'er)</t>
  </si>
  <si>
    <t>Enkelt Aktier (Saxo) (Amerikanske aktier)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</si>
</sst>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&quot;kr.&quot;_-;\-* #,##0\ &quot;kr.&quot;_-;_-* &quot;-&quot;\ &quot;kr.&quot;_-;_-@_-"/>
    <numFmt numFmtId="165" formatCode="_-* #,##0.00\ &quot;kr.&quot;_-;\-* #,##0.00\ &quot;kr.&quot;_-;_-* &quot;-&quot;??\ &quot;kr.&quot;_-;_-@_-"/>
    <numFmt numFmtId="166" formatCode="#,##0.00\ &quot;kr.&quot;"/>
    <numFmt numFmtId="167" formatCode="#,##0\ &quot;kr.&quot;"/>
    <numFmt numFmtId="168" formatCode="0.000%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454545"/>
      <name val="Courier New"/>
      <family val="3"/>
    </font>
    <font>
      <sz val="11"/>
      <color rgb="FF444444"/>
      <name val="Calibri"/>
      <family val="2"/>
      <charset val="1"/>
    </font>
    <font>
      <b/>
      <sz val="16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7"/>
        <bgColor indexed="64"/>
      </patternFill>
    </fill>
  </fills>
  <borders count="5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6" fillId="8" borderId="0" applyNumberFormat="0" applyBorder="0" applyAlignment="0" applyProtection="0"/>
    <xf numFmtId="164" fontId="1" fillId="0" borderId="0" applyFont="0" applyFill="0" applyBorder="0" applyAlignment="0" applyProtection="0"/>
  </cellStyleXfs>
  <cellXfs count="135">
    <xf numFmtId="0" fontId="0" fillId="0" borderId="0" xfId="0"/>
    <xf numFmtId="0" fontId="3" fillId="0" borderId="3" xfId="0" applyFont="1" applyBorder="1"/>
    <xf numFmtId="0" fontId="3" fillId="3" borderId="3" xfId="0" applyFont="1" applyFill="1" applyBorder="1"/>
    <xf numFmtId="0" fontId="3" fillId="4" borderId="3" xfId="0" applyFont="1" applyFill="1" applyBorder="1"/>
    <xf numFmtId="0" fontId="3" fillId="5" borderId="3" xfId="0" applyFont="1" applyFill="1" applyBorder="1"/>
    <xf numFmtId="0" fontId="3" fillId="0" borderId="4" xfId="0" applyFont="1" applyBorder="1"/>
    <xf numFmtId="10" fontId="4" fillId="4" borderId="2" xfId="2" applyNumberFormat="1" applyFont="1" applyFill="1" applyBorder="1" applyAlignment="1">
      <alignment horizontal="left"/>
    </xf>
    <xf numFmtId="166" fontId="0" fillId="0" borderId="0" xfId="0" applyNumberFormat="1"/>
    <xf numFmtId="0" fontId="2" fillId="6" borderId="0" xfId="0" applyFont="1" applyFill="1" applyAlignment="1">
      <alignment horizontal="center"/>
    </xf>
    <xf numFmtId="10" fontId="0" fillId="0" borderId="0" xfId="0" applyNumberFormat="1"/>
    <xf numFmtId="167" fontId="0" fillId="0" borderId="0" xfId="0" applyNumberFormat="1"/>
    <xf numFmtId="167" fontId="4" fillId="4" borderId="15" xfId="1" applyNumberFormat="1" applyFont="1" applyFill="1" applyBorder="1" applyAlignment="1">
      <alignment horizontal="left"/>
    </xf>
    <xf numFmtId="167" fontId="0" fillId="0" borderId="0" xfId="1" applyNumberFormat="1" applyFont="1"/>
    <xf numFmtId="10" fontId="4" fillId="4" borderId="1" xfId="2" applyNumberFormat="1" applyFont="1" applyFill="1" applyBorder="1" applyAlignment="1">
      <alignment horizontal="left"/>
    </xf>
    <xf numFmtId="10" fontId="4" fillId="5" borderId="2" xfId="2" applyNumberFormat="1" applyFont="1" applyFill="1" applyBorder="1" applyAlignment="1">
      <alignment horizontal="left"/>
    </xf>
    <xf numFmtId="2" fontId="0" fillId="0" borderId="0" xfId="0" applyNumberFormat="1"/>
    <xf numFmtId="166" fontId="4" fillId="4" borderId="1" xfId="2" applyNumberFormat="1" applyFont="1" applyFill="1" applyBorder="1" applyAlignment="1">
      <alignment horizontal="left"/>
    </xf>
    <xf numFmtId="10" fontId="4" fillId="5" borderId="2" xfId="2" applyNumberFormat="1" applyFont="1" applyFill="1" applyBorder="1" applyAlignment="1"/>
    <xf numFmtId="10" fontId="4" fillId="5" borderId="1" xfId="2" applyNumberFormat="1" applyFont="1" applyFill="1" applyBorder="1" applyAlignment="1"/>
    <xf numFmtId="166" fontId="4" fillId="5" borderId="1" xfId="2" applyNumberFormat="1" applyFont="1" applyFill="1" applyBorder="1" applyAlignment="1">
      <alignment horizontal="left"/>
    </xf>
    <xf numFmtId="10" fontId="0" fillId="0" borderId="0" xfId="0" applyNumberFormat="1" applyAlignment="1">
      <alignment horizontal="left"/>
    </xf>
    <xf numFmtId="167" fontId="7" fillId="0" borderId="0" xfId="0" applyNumberFormat="1" applyFont="1"/>
    <xf numFmtId="0" fontId="10" fillId="0" borderId="0" xfId="0" applyFont="1" applyAlignment="1">
      <alignment horizontal="center" vertical="center"/>
    </xf>
    <xf numFmtId="0" fontId="12" fillId="0" borderId="0" xfId="0" applyFont="1"/>
    <xf numFmtId="9" fontId="0" fillId="0" borderId="0" xfId="2" applyFont="1"/>
    <xf numFmtId="0" fontId="2" fillId="0" borderId="0" xfId="0" applyFont="1" applyAlignment="1">
      <alignment horizontal="center"/>
    </xf>
    <xf numFmtId="0" fontId="3" fillId="0" borderId="0" xfId="0" applyFont="1"/>
    <xf numFmtId="10" fontId="4" fillId="0" borderId="0" xfId="2" applyNumberFormat="1" applyFont="1" applyFill="1" applyBorder="1" applyAlignment="1">
      <alignment horizontal="left"/>
    </xf>
    <xf numFmtId="167" fontId="4" fillId="0" borderId="0" xfId="1" applyNumberFormat="1" applyFont="1" applyFill="1" applyBorder="1" applyAlignment="1">
      <alignment horizontal="left"/>
    </xf>
    <xf numFmtId="166" fontId="4" fillId="0" borderId="0" xfId="2" applyNumberFormat="1" applyFont="1" applyFill="1" applyBorder="1" applyAlignment="1">
      <alignment horizontal="left"/>
    </xf>
    <xf numFmtId="10" fontId="4" fillId="0" borderId="0" xfId="2" applyNumberFormat="1" applyFont="1" applyFill="1" applyBorder="1" applyAlignment="1"/>
    <xf numFmtId="0" fontId="2" fillId="0" borderId="0" xfId="0" applyFont="1" applyAlignment="1">
      <alignment horizontal="center" vertical="center"/>
    </xf>
    <xf numFmtId="167" fontId="4" fillId="0" borderId="0" xfId="2" applyNumberFormat="1" applyFont="1" applyFill="1" applyBorder="1" applyAlignment="1">
      <alignment horizontal="left"/>
    </xf>
    <xf numFmtId="167" fontId="0" fillId="0" borderId="0" xfId="0" applyNumberFormat="1" applyAlignment="1">
      <alignment horizontal="right"/>
    </xf>
    <xf numFmtId="0" fontId="8" fillId="0" borderId="0" xfId="0" applyFont="1" applyAlignment="1">
      <alignment horizontal="center"/>
    </xf>
    <xf numFmtId="168" fontId="0" fillId="0" borderId="0" xfId="0" applyNumberFormat="1"/>
    <xf numFmtId="0" fontId="2" fillId="0" borderId="18" xfId="0" applyFont="1" applyBorder="1"/>
    <xf numFmtId="0" fontId="11" fillId="0" borderId="19" xfId="0" applyFont="1" applyBorder="1"/>
    <xf numFmtId="0" fontId="11" fillId="0" borderId="20" xfId="0" applyFont="1" applyBorder="1"/>
    <xf numFmtId="167" fontId="11" fillId="0" borderId="23" xfId="0" applyNumberFormat="1" applyFont="1" applyBorder="1"/>
    <xf numFmtId="167" fontId="11" fillId="0" borderId="24" xfId="0" applyNumberFormat="1" applyFont="1" applyBorder="1"/>
    <xf numFmtId="0" fontId="7" fillId="0" borderId="19" xfId="0" applyFont="1" applyBorder="1"/>
    <xf numFmtId="0" fontId="7" fillId="0" borderId="20" xfId="0" applyFont="1" applyBorder="1"/>
    <xf numFmtId="0" fontId="7" fillId="0" borderId="18" xfId="0" applyFont="1" applyBorder="1"/>
    <xf numFmtId="167" fontId="11" fillId="0" borderId="0" xfId="0" applyNumberFormat="1" applyFont="1"/>
    <xf numFmtId="0" fontId="10" fillId="0" borderId="25" xfId="0" applyFont="1" applyBorder="1" applyAlignment="1">
      <alignment horizontal="right" vertical="center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0" fontId="9" fillId="0" borderId="27" xfId="0" applyFont="1" applyBorder="1"/>
    <xf numFmtId="0" fontId="9" fillId="0" borderId="26" xfId="0" applyFont="1" applyBorder="1"/>
    <xf numFmtId="0" fontId="9" fillId="0" borderId="28" xfId="0" applyFont="1" applyBorder="1"/>
    <xf numFmtId="0" fontId="9" fillId="0" borderId="22" xfId="0" applyFont="1" applyBorder="1"/>
    <xf numFmtId="0" fontId="9" fillId="0" borderId="29" xfId="0" applyFont="1" applyBorder="1"/>
    <xf numFmtId="0" fontId="9" fillId="0" borderId="30" xfId="0" applyFont="1" applyBorder="1"/>
    <xf numFmtId="0" fontId="9" fillId="0" borderId="31" xfId="0" applyFont="1" applyBorder="1"/>
    <xf numFmtId="0" fontId="0" fillId="0" borderId="33" xfId="0" quotePrefix="1" applyBorder="1" applyAlignment="1">
      <alignment horizontal="left"/>
    </xf>
    <xf numFmtId="9" fontId="0" fillId="0" borderId="33" xfId="0" applyNumberFormat="1" applyBorder="1" applyAlignment="1">
      <alignment horizontal="left"/>
    </xf>
    <xf numFmtId="0" fontId="0" fillId="0" borderId="33" xfId="0" applyBorder="1" applyAlignment="1">
      <alignment horizontal="left"/>
    </xf>
    <xf numFmtId="10" fontId="0" fillId="0" borderId="34" xfId="0" applyNumberFormat="1" applyBorder="1" applyAlignment="1">
      <alignment horizontal="left"/>
    </xf>
    <xf numFmtId="10" fontId="0" fillId="0" borderId="35" xfId="0" applyNumberFormat="1" applyBorder="1" applyAlignment="1">
      <alignment horizontal="left"/>
    </xf>
    <xf numFmtId="0" fontId="2" fillId="0" borderId="36" xfId="0" applyFont="1" applyBorder="1" applyAlignment="1">
      <alignment horizontal="center"/>
    </xf>
    <xf numFmtId="0" fontId="0" fillId="0" borderId="0" xfId="0" applyAlignment="1">
      <alignment horizontal="center"/>
    </xf>
    <xf numFmtId="10" fontId="5" fillId="7" borderId="0" xfId="3" applyNumberFormat="1" applyBorder="1"/>
    <xf numFmtId="166" fontId="5" fillId="7" borderId="0" xfId="3" applyNumberFormat="1" applyBorder="1" applyAlignment="1">
      <alignment horizontal="left"/>
    </xf>
    <xf numFmtId="10" fontId="6" fillId="8" borderId="0" xfId="4" applyNumberFormat="1" applyBorder="1"/>
    <xf numFmtId="10" fontId="0" fillId="0" borderId="0" xfId="2" applyNumberFormat="1" applyFont="1" applyBorder="1"/>
    <xf numFmtId="166" fontId="6" fillId="8" borderId="33" xfId="4" applyNumberFormat="1" applyBorder="1" applyAlignment="1">
      <alignment horizontal="left"/>
    </xf>
    <xf numFmtId="0" fontId="0" fillId="0" borderId="32" xfId="0" applyBorder="1"/>
    <xf numFmtId="0" fontId="0" fillId="0" borderId="33" xfId="0" applyBorder="1"/>
    <xf numFmtId="0" fontId="2" fillId="0" borderId="19" xfId="0" applyFont="1" applyBorder="1" applyAlignment="1">
      <alignment horizontal="center"/>
    </xf>
    <xf numFmtId="0" fontId="8" fillId="0" borderId="29" xfId="0" applyFont="1" applyBorder="1" applyAlignment="1">
      <alignment horizontal="left"/>
    </xf>
    <xf numFmtId="0" fontId="8" fillId="0" borderId="30" xfId="0" applyFont="1" applyBorder="1" applyAlignment="1">
      <alignment horizontal="left"/>
    </xf>
    <xf numFmtId="0" fontId="8" fillId="0" borderId="31" xfId="0" applyFont="1" applyBorder="1" applyAlignment="1">
      <alignment horizontal="left"/>
    </xf>
    <xf numFmtId="167" fontId="13" fillId="0" borderId="0" xfId="0" quotePrefix="1" applyNumberFormat="1" applyFont="1"/>
    <xf numFmtId="0" fontId="0" fillId="0" borderId="0" xfId="0" applyAlignment="1">
      <alignment wrapText="1"/>
    </xf>
    <xf numFmtId="0" fontId="0" fillId="0" borderId="37" xfId="0" applyBorder="1" applyAlignment="1">
      <alignment horizontal="right"/>
    </xf>
    <xf numFmtId="0" fontId="0" fillId="0" borderId="38" xfId="0" applyBorder="1"/>
    <xf numFmtId="0" fontId="0" fillId="0" borderId="40" xfId="0" applyBorder="1"/>
    <xf numFmtId="0" fontId="0" fillId="0" borderId="39" xfId="0" applyBorder="1"/>
    <xf numFmtId="167" fontId="13" fillId="0" borderId="33" xfId="0" quotePrefix="1" applyNumberFormat="1" applyFont="1" applyBorder="1"/>
    <xf numFmtId="167" fontId="4" fillId="0" borderId="33" xfId="2" applyNumberFormat="1" applyFont="1" applyFill="1" applyBorder="1" applyAlignment="1">
      <alignment horizontal="left"/>
    </xf>
    <xf numFmtId="164" fontId="7" fillId="0" borderId="26" xfId="5" applyFont="1" applyBorder="1"/>
    <xf numFmtId="164" fontId="7" fillId="0" borderId="21" xfId="5" applyFont="1" applyBorder="1"/>
    <xf numFmtId="164" fontId="7" fillId="0" borderId="22" xfId="5" applyFont="1" applyBorder="1"/>
    <xf numFmtId="167" fontId="13" fillId="0" borderId="1" xfId="0" quotePrefix="1" applyNumberFormat="1" applyFon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167" fontId="0" fillId="0" borderId="42" xfId="0" applyNumberFormat="1" applyBorder="1"/>
    <xf numFmtId="167" fontId="0" fillId="0" borderId="1" xfId="0" applyNumberFormat="1" applyBorder="1"/>
    <xf numFmtId="167" fontId="0" fillId="0" borderId="46" xfId="0" applyNumberFormat="1" applyBorder="1"/>
    <xf numFmtId="167" fontId="0" fillId="0" borderId="15" xfId="0" applyNumberFormat="1" applyBorder="1"/>
    <xf numFmtId="0" fontId="0" fillId="0" borderId="0" xfId="0" quotePrefix="1"/>
    <xf numFmtId="0" fontId="14" fillId="0" borderId="0" xfId="0" applyFont="1" applyAlignment="1">
      <alignment horizontal="center"/>
    </xf>
    <xf numFmtId="167" fontId="15" fillId="0" borderId="0" xfId="0" quotePrefix="1" applyNumberFormat="1" applyFont="1"/>
    <xf numFmtId="167" fontId="15" fillId="0" borderId="0" xfId="0" applyNumberFormat="1" applyFont="1"/>
    <xf numFmtId="167" fontId="16" fillId="0" borderId="0" xfId="0" quotePrefix="1" applyNumberFormat="1" applyFont="1"/>
    <xf numFmtId="167" fontId="16" fillId="0" borderId="0" xfId="0" applyNumberFormat="1" applyFont="1"/>
    <xf numFmtId="0" fontId="14" fillId="9" borderId="47" xfId="0" applyFont="1" applyFill="1" applyBorder="1" applyAlignment="1">
      <alignment horizontal="center"/>
    </xf>
    <xf numFmtId="0" fontId="14" fillId="9" borderId="49" xfId="0" applyFont="1" applyFill="1" applyBorder="1" applyAlignment="1">
      <alignment horizontal="center"/>
    </xf>
    <xf numFmtId="10" fontId="6" fillId="8" borderId="20" xfId="4" applyNumberFormat="1" applyBorder="1" applyAlignment="1">
      <alignment horizontal="center"/>
    </xf>
    <xf numFmtId="10" fontId="6" fillId="8" borderId="0" xfId="4" applyNumberFormat="1" applyBorder="1" applyAlignment="1">
      <alignment horizontal="center"/>
    </xf>
    <xf numFmtId="10" fontId="5" fillId="7" borderId="0" xfId="3" applyNumberFormat="1" applyBorder="1" applyAlignment="1">
      <alignment horizontal="center"/>
    </xf>
    <xf numFmtId="10" fontId="5" fillId="7" borderId="33" xfId="3" applyNumberFormat="1" applyBorder="1" applyAlignment="1">
      <alignment horizontal="center"/>
    </xf>
    <xf numFmtId="10" fontId="6" fillId="8" borderId="41" xfId="4" applyNumberFormat="1" applyBorder="1" applyAlignment="1">
      <alignment horizontal="center"/>
    </xf>
    <xf numFmtId="10" fontId="6" fillId="8" borderId="34" xfId="4" applyNumberFormat="1" applyBorder="1" applyAlignment="1">
      <alignment horizontal="center"/>
    </xf>
    <xf numFmtId="168" fontId="5" fillId="7" borderId="34" xfId="3" applyNumberFormat="1" applyBorder="1" applyAlignment="1">
      <alignment horizontal="center"/>
    </xf>
    <xf numFmtId="168" fontId="5" fillId="7" borderId="35" xfId="3" applyNumberFormat="1" applyBorder="1" applyAlignment="1">
      <alignment horizont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9" fillId="0" borderId="37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167" fontId="4" fillId="0" borderId="13" xfId="1" applyNumberFormat="1" applyFont="1" applyBorder="1" applyAlignment="1">
      <alignment horizontal="left"/>
    </xf>
    <xf numFmtId="167" fontId="4" fillId="0" borderId="14" xfId="1" applyNumberFormat="1" applyFont="1" applyBorder="1" applyAlignment="1">
      <alignment horizontal="left"/>
    </xf>
    <xf numFmtId="167" fontId="4" fillId="0" borderId="2" xfId="1" applyNumberFormat="1" applyFont="1" applyBorder="1" applyAlignment="1">
      <alignment horizontal="left"/>
    </xf>
    <xf numFmtId="167" fontId="4" fillId="0" borderId="1" xfId="1" applyNumberFormat="1" applyFont="1" applyBorder="1" applyAlignment="1">
      <alignment horizontal="left"/>
    </xf>
    <xf numFmtId="10" fontId="4" fillId="3" borderId="2" xfId="2" applyNumberFormat="1" applyFont="1" applyFill="1" applyBorder="1" applyAlignment="1">
      <alignment horizontal="left"/>
    </xf>
    <xf numFmtId="10" fontId="4" fillId="3" borderId="1" xfId="2" applyNumberFormat="1" applyFont="1" applyFill="1" applyBorder="1" applyAlignment="1">
      <alignment horizontal="left"/>
    </xf>
    <xf numFmtId="167" fontId="4" fillId="5" borderId="16" xfId="2" applyNumberFormat="1" applyFont="1" applyFill="1" applyBorder="1" applyAlignment="1">
      <alignment horizontal="left"/>
    </xf>
    <xf numFmtId="167" fontId="4" fillId="5" borderId="17" xfId="2" applyNumberFormat="1" applyFont="1" applyFill="1" applyBorder="1" applyAlignment="1">
      <alignment horizontal="left"/>
    </xf>
    <xf numFmtId="0" fontId="14" fillId="9" borderId="48" xfId="0" applyFont="1" applyFill="1" applyBorder="1" applyAlignment="1">
      <alignment horizontal="center"/>
    </xf>
    <xf numFmtId="10" fontId="4" fillId="5" borderId="2" xfId="2" applyNumberFormat="1" applyFont="1" applyFill="1" applyBorder="1" applyAlignment="1">
      <alignment horizontal="left"/>
    </xf>
    <xf numFmtId="10" fontId="4" fillId="5" borderId="1" xfId="2" applyNumberFormat="1" applyFont="1" applyFill="1" applyBorder="1" applyAlignment="1">
      <alignment horizontal="left"/>
    </xf>
    <xf numFmtId="10" fontId="4" fillId="4" borderId="2" xfId="2" applyNumberFormat="1" applyFont="1" applyFill="1" applyBorder="1" applyAlignment="1">
      <alignment horizontal="left"/>
    </xf>
    <xf numFmtId="10" fontId="4" fillId="4" borderId="1" xfId="2" applyNumberFormat="1" applyFont="1" applyFill="1" applyBorder="1" applyAlignment="1">
      <alignment horizontal="left"/>
    </xf>
  </cellXfs>
  <cellStyles count="6">
    <cellStyle name="Bad" xfId="4" builtinId="27"/>
    <cellStyle name="Currency" xfId="1" builtinId="4"/>
    <cellStyle name="Currency [0]" xfId="5" builtinId="7"/>
    <cellStyle name="Good" xfId="3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400" b="1"/>
              <a:t>Værdi efter salg ved det angivne år!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fld id="{FE0A627C-8F38-4225-8502-9D94CF47CA05}" type="VALUE">
                      <a:rPr lang="en-US" sz="1800"/>
                      <a:pPr/>
                      <a:t>[]</a:t>
                    </a:fld>
                    <a:endParaRPr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A50-4D8B-9A41-81BFDD9373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DiverseKontoer!$A$29:$A$32</c:f>
              <c:strCache>
                <c:ptCount val="4"/>
                <c:pt idx="0">
                  <c:v>Investering (i alt)</c:v>
                </c:pt>
                <c:pt idx="1">
                  <c:v>Aktiesparekonto (Saxo Bank) (Tyske ETF'er)</c:v>
                </c:pt>
                <c:pt idx="2">
                  <c:v>Aktiesparekonto (Nordnet) (Tyske ETF'er)</c:v>
                </c:pt>
                <c:pt idx="3">
                  <c:v>Månedsopsparing (Nordnet) (Danske fonde)</c:v>
                </c:pt>
              </c:strCache>
            </c:strRef>
          </c:cat>
          <c:val>
            <c:numRef>
              <c:f>DiverseKontoer!$B$29:$B$32</c:f>
              <c:numCache>
                <c:formatCode>_-* #,##0\ "kr."_-;\-* #,##0\ "kr."_-;_-* "-"\ "kr."_-;_-@_-</c:formatCode>
                <c:ptCount val="4"/>
                <c:pt idx="0">
                  <c:v>180000</c:v>
                </c:pt>
                <c:pt idx="1">
                  <c:v>228147.02049833676</c:v>
                </c:pt>
                <c:pt idx="2">
                  <c:v>226879.43688952082</c:v>
                </c:pt>
                <c:pt idx="3">
                  <c:v>219781.35106948004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2-404C-98A1-D84EABFA0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9627552"/>
        <c:axId val="709631160"/>
      </c:barChart>
      <c:catAx>
        <c:axId val="70962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31160"/>
        <c:crosses val="autoZero"/>
        <c:auto val="1"/>
        <c:lblAlgn val="ctr"/>
        <c:lblOffset val="100"/>
        <c:noMultiLvlLbl val="0"/>
      </c:catAx>
      <c:valAx>
        <c:axId val="70963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&quot;kr.&quot;_-;\-* #,##0\ &quot;kr.&quot;_-;_-* &quot;-&quot;\ &quot;kr.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62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2400" b="1"/>
              <a:t>Moneys over År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Indskud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[0]!Indskud</c:f>
              <c:numCache>
                <c:formatCode>#,##0\ "kr."</c:formatCode>
                <c:ptCount val="5"/>
                <c:pt idx="0">
                  <c:v>0</c:v>
                </c:pt>
                <c:pt idx="1">
                  <c:v>90000</c:v>
                </c:pt>
                <c:pt idx="2">
                  <c:v>180000</c:v>
                </c:pt>
                <c:pt idx="3">
                  <c:v>180000</c:v>
                </c:pt>
                <c:pt idx="4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1C-4229-99FC-BD3666328F34}"/>
            </c:ext>
          </c:extLst>
        </c:ser>
        <c:ser>
          <c:idx val="1"/>
          <c:order val="1"/>
          <c:tx>
            <c:v>ASK Saxo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[0]!ASK_Saxo</c:f>
              <c:numCache>
                <c:formatCode>#,##0\ "kr."</c:formatCode>
                <c:ptCount val="5"/>
                <c:pt idx="0">
                  <c:v>0</c:v>
                </c:pt>
                <c:pt idx="1">
                  <c:v>95971.761899999998</c:v>
                </c:pt>
                <c:pt idx="2">
                  <c:v>199032.95785155299</c:v>
                </c:pt>
                <c:pt idx="3">
                  <c:v>213735.52244804721</c:v>
                </c:pt>
                <c:pt idx="4">
                  <c:v>228147.02049833676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3F-4E86-859C-88BC6308A33D}"/>
            </c:ext>
          </c:extLst>
        </c:ser>
        <c:ser>
          <c:idx val="2"/>
          <c:order val="2"/>
          <c:tx>
            <c:strRef>
              <c:f>DiverseKontoer!$AS$27</c:f>
              <c:strCache>
                <c:ptCount val="1"/>
                <c:pt idx="0">
                  <c:v>ASK Nordnet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[0]!ASK_Nordnet</c:f>
              <c:numCache>
                <c:formatCode>#,##0\ "kr."</c:formatCode>
                <c:ptCount val="5"/>
                <c:pt idx="0">
                  <c:v>0</c:v>
                </c:pt>
                <c:pt idx="1">
                  <c:v>95246.899649999992</c:v>
                </c:pt>
                <c:pt idx="2">
                  <c:v>197529.68777714547</c:v>
                </c:pt>
                <c:pt idx="3">
                  <c:v>212121.2058132432</c:v>
                </c:pt>
                <c:pt idx="4">
                  <c:v>226879.43688952082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34-4353-83C2-4E5E9D2C09E1}"/>
            </c:ext>
          </c:extLst>
        </c:ser>
        <c:ser>
          <c:idx val="0"/>
          <c:order val="3"/>
          <c:tx>
            <c:v>Månedsopsparing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[0]!Years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[0]!Månedsopsparing</c:f>
              <c:numCache>
                <c:formatCode>#,##0\ "kr."</c:formatCode>
                <c:ptCount val="5"/>
                <c:pt idx="0">
                  <c:v>0</c:v>
                </c:pt>
                <c:pt idx="1">
                  <c:v>97164</c:v>
                </c:pt>
                <c:pt idx="2">
                  <c:v>202062.25440000001</c:v>
                </c:pt>
                <c:pt idx="3">
                  <c:v>218146.40985023999</c:v>
                </c:pt>
                <c:pt idx="4">
                  <c:v>219781.35106948004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1C-4229-99FC-BD3666328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339503"/>
        <c:axId val="357339919"/>
      </c:lineChart>
      <c:catAx>
        <c:axId val="3573395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339919"/>
        <c:crosses val="autoZero"/>
        <c:auto val="1"/>
        <c:lblAlgn val="ctr"/>
        <c:lblOffset val="100"/>
        <c:noMultiLvlLbl val="0"/>
      </c:catAx>
      <c:valAx>
        <c:axId val="35733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kr.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339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34</xdr:row>
      <xdr:rowOff>1</xdr:rowOff>
    </xdr:from>
    <xdr:to>
      <xdr:col>5</xdr:col>
      <xdr:colOff>2707821</xdr:colOff>
      <xdr:row>60</xdr:row>
      <xdr:rowOff>171451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4DF4C57-326E-4208-92B1-78F4DE050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137432</xdr:colOff>
      <xdr:row>61</xdr:row>
      <xdr:rowOff>123824</xdr:rowOff>
    </xdr:from>
    <xdr:to>
      <xdr:col>5</xdr:col>
      <xdr:colOff>2721428</xdr:colOff>
      <xdr:row>90</xdr:row>
      <xdr:rowOff>27213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8B97539-651F-4E36-81FB-913A675579AA}"/>
            </a:ext>
            <a:ext uri="{147F2762-F138-4A5C-976F-8EAC2B608ADB}">
              <a16:predDERef xmlns:a16="http://schemas.microsoft.com/office/drawing/2014/main" pred="{C4DF4C57-326E-4208-92B1-78F4DE0507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D6885-C363-4451-A008-A6465922AF08}">
  <sheetPr codeName="Sheet1"/>
  <dimension ref="A2:BG151"/>
  <sheetViews>
    <sheetView tabSelected="1" topLeftCell="A20" zoomScale="85" zoomScaleNormal="85" workbookViewId="0">
      <selection activeCell="I35" sqref="I35"/>
    </sheetView>
  </sheetViews>
  <sheetFormatPr defaultRowHeight="15"/>
  <cols>
    <col min="1" max="1" width="56.42578125" customWidth="1"/>
    <col min="2" max="2" width="36.28515625" bestFit="1" customWidth="1"/>
    <col min="3" max="3" width="36.42578125" bestFit="1" customWidth="1"/>
    <col min="4" max="4" width="32.42578125" customWidth="1"/>
    <col min="5" max="5" width="29" customWidth="1"/>
    <col min="6" max="6" width="43.85546875" customWidth="1"/>
    <col min="7" max="7" width="24.140625" bestFit="1" customWidth="1"/>
    <col min="8" max="8" width="20.140625" customWidth="1"/>
    <col min="9" max="9" width="25" bestFit="1" customWidth="1"/>
    <col min="10" max="10" width="25.5703125" bestFit="1" customWidth="1"/>
    <col min="11" max="11" width="14.5703125" bestFit="1" customWidth="1"/>
    <col min="12" max="12" width="14.7109375" bestFit="1" customWidth="1"/>
    <col min="13" max="13" width="19.28515625" bestFit="1" customWidth="1"/>
    <col min="14" max="14" width="20.7109375" bestFit="1" customWidth="1"/>
    <col min="15" max="15" width="19.7109375" bestFit="1" customWidth="1"/>
    <col min="16" max="16" width="20" bestFit="1" customWidth="1"/>
    <col min="17" max="17" width="28.28515625" customWidth="1"/>
    <col min="18" max="18" width="26.7109375" customWidth="1"/>
    <col min="19" max="19" width="12.42578125" customWidth="1"/>
    <col min="20" max="20" width="3.7109375" customWidth="1"/>
    <col min="21" max="21" width="24.140625" bestFit="1" customWidth="1"/>
    <col min="22" max="22" width="23.140625" customWidth="1"/>
    <col min="23" max="23" width="24.7109375" bestFit="1" customWidth="1"/>
    <col min="24" max="24" width="17.28515625" customWidth="1"/>
    <col min="25" max="25" width="15.5703125" customWidth="1"/>
    <col min="26" max="27" width="34.7109375" bestFit="1" customWidth="1"/>
    <col min="28" max="28" width="13.7109375" customWidth="1"/>
    <col min="29" max="29" width="18.5703125" bestFit="1" customWidth="1"/>
    <col min="30" max="30" width="16.5703125" bestFit="1" customWidth="1"/>
    <col min="31" max="31" width="19.5703125" bestFit="1" customWidth="1"/>
    <col min="32" max="33" width="22.28515625" bestFit="1" customWidth="1"/>
    <col min="34" max="34" width="30.85546875" bestFit="1" customWidth="1"/>
    <col min="35" max="35" width="20" bestFit="1" customWidth="1"/>
    <col min="36" max="36" width="21.42578125" customWidth="1"/>
    <col min="37" max="38" width="27.28515625" customWidth="1"/>
    <col min="39" max="39" width="21.85546875" customWidth="1"/>
    <col min="40" max="40" width="24.7109375" bestFit="1" customWidth="1"/>
    <col min="41" max="41" width="26.7109375" customWidth="1"/>
    <col min="42" max="42" width="19.140625" bestFit="1" customWidth="1"/>
    <col min="43" max="43" width="27.85546875" customWidth="1"/>
    <col min="44" max="44" width="26.5703125" bestFit="1" customWidth="1"/>
    <col min="45" max="47" width="26.5703125" customWidth="1"/>
    <col min="48" max="48" width="23.7109375" customWidth="1"/>
    <col min="49" max="49" width="21.7109375" customWidth="1"/>
    <col min="50" max="51" width="33.42578125" bestFit="1" customWidth="1"/>
    <col min="52" max="52" width="36.28515625" customWidth="1"/>
    <col min="53" max="53" width="19.5703125" customWidth="1"/>
    <col min="54" max="54" width="16.7109375" customWidth="1"/>
    <col min="55" max="55" width="16.85546875" customWidth="1"/>
    <col min="56" max="57" width="11.85546875" bestFit="1" customWidth="1"/>
    <col min="58" max="58" width="17.7109375" customWidth="1"/>
  </cols>
  <sheetData>
    <row r="2" spans="1:50" ht="26.25">
      <c r="D2" s="44"/>
      <c r="F2" s="25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H2" s="25"/>
      <c r="AI2" s="25"/>
      <c r="AJ2" s="25"/>
      <c r="AK2" s="25"/>
      <c r="AL2" s="25"/>
    </row>
    <row r="3" spans="1:50" ht="26.25">
      <c r="D3" s="44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H3" s="34"/>
      <c r="AI3" s="34"/>
      <c r="AJ3" s="34"/>
      <c r="AK3" s="34"/>
      <c r="AL3" s="34"/>
    </row>
    <row r="4" spans="1:50" ht="26.25">
      <c r="D4" s="22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H4" s="35"/>
      <c r="AI4" s="35"/>
      <c r="AJ4" s="35"/>
      <c r="AK4" s="35"/>
      <c r="AL4" s="35"/>
    </row>
    <row r="5" spans="1:50" ht="30.75" thickBot="1">
      <c r="B5" s="74" t="s">
        <v>0</v>
      </c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H5" s="35"/>
      <c r="AI5" s="35"/>
      <c r="AJ5" s="35"/>
      <c r="AK5" s="35"/>
      <c r="AL5" s="35"/>
    </row>
    <row r="6" spans="1:50" ht="21">
      <c r="A6" s="108" t="s">
        <v>1</v>
      </c>
      <c r="B6" s="48" t="s">
        <v>2</v>
      </c>
      <c r="C6" s="48" t="s">
        <v>3</v>
      </c>
      <c r="D6" s="49" t="s">
        <v>4</v>
      </c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</row>
    <row r="7" spans="1:50" ht="21.75" thickBot="1">
      <c r="A7" s="109"/>
      <c r="B7" s="50" t="s">
        <v>5</v>
      </c>
      <c r="C7" s="50" t="s">
        <v>6</v>
      </c>
      <c r="D7" s="51" t="s">
        <v>7</v>
      </c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</row>
    <row r="8" spans="1:50" ht="21">
      <c r="A8" s="52" t="s">
        <v>8</v>
      </c>
      <c r="B8" s="46" t="s">
        <v>9</v>
      </c>
      <c r="C8" s="46" t="s">
        <v>10</v>
      </c>
      <c r="D8" s="57" t="s">
        <v>11</v>
      </c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F8" s="7"/>
      <c r="AG8" s="7"/>
      <c r="AH8" s="7"/>
      <c r="AI8" s="7"/>
      <c r="AJ8" s="7"/>
      <c r="AK8" s="7"/>
      <c r="AL8" s="7"/>
    </row>
    <row r="9" spans="1:50" ht="18.75" customHeight="1" thickBot="1">
      <c r="A9" s="53" t="s">
        <v>12</v>
      </c>
      <c r="B9" s="46" t="s">
        <v>13</v>
      </c>
      <c r="C9" s="46" t="s">
        <v>14</v>
      </c>
      <c r="D9" s="55" t="s">
        <v>15</v>
      </c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N9" s="31"/>
      <c r="AO9" s="31"/>
      <c r="AP9" s="31"/>
      <c r="AX9" t="s">
        <v>16</v>
      </c>
    </row>
    <row r="10" spans="1:50" ht="18.75" customHeight="1">
      <c r="A10" s="53" t="s">
        <v>17</v>
      </c>
      <c r="B10" s="20">
        <v>1E-3</v>
      </c>
      <c r="C10" s="20">
        <v>5.0000000000000001E-3</v>
      </c>
      <c r="D10" s="56">
        <v>0</v>
      </c>
      <c r="G10" s="110" t="s">
        <v>18</v>
      </c>
      <c r="H10" s="111"/>
      <c r="I10" s="112"/>
      <c r="J10" s="15"/>
      <c r="K10" s="10"/>
      <c r="L10" s="10"/>
      <c r="M10" s="10"/>
      <c r="N10" s="10"/>
      <c r="O10" s="10"/>
      <c r="P10" s="10"/>
      <c r="U10" s="110" t="s">
        <v>19</v>
      </c>
      <c r="V10" s="111"/>
      <c r="W10" s="112"/>
      <c r="AN10" s="31"/>
      <c r="AO10" s="31"/>
      <c r="AP10" s="31"/>
    </row>
    <row r="11" spans="1:50" ht="19.5" customHeight="1">
      <c r="A11" s="53" t="s">
        <v>20</v>
      </c>
      <c r="B11" s="46" t="s">
        <v>21</v>
      </c>
      <c r="C11" s="46" t="s">
        <v>22</v>
      </c>
      <c r="D11" s="57" t="s">
        <v>22</v>
      </c>
      <c r="G11" s="113"/>
      <c r="H11" s="114"/>
      <c r="I11" s="115"/>
      <c r="K11" s="7"/>
      <c r="L11" s="7"/>
      <c r="M11" s="7"/>
      <c r="N11" s="7"/>
      <c r="O11" s="7"/>
      <c r="P11" s="7"/>
      <c r="U11" s="113"/>
      <c r="V11" s="114"/>
      <c r="W11" s="115"/>
      <c r="AN11" s="31"/>
      <c r="AO11" s="31"/>
      <c r="AP11" s="31"/>
    </row>
    <row r="12" spans="1:50" ht="21.75" thickBot="1">
      <c r="A12" s="53" t="s">
        <v>23</v>
      </c>
      <c r="B12" s="47">
        <v>0.17</v>
      </c>
      <c r="C12" s="47">
        <v>0.27</v>
      </c>
      <c r="D12" s="56">
        <v>0.27</v>
      </c>
      <c r="G12" s="116"/>
      <c r="H12" s="117"/>
      <c r="I12" s="118"/>
      <c r="U12" s="116"/>
      <c r="V12" s="117"/>
      <c r="W12" s="118"/>
      <c r="Y12" s="9"/>
      <c r="Z12" s="9"/>
      <c r="AN12" s="26"/>
      <c r="AO12" s="28"/>
      <c r="AP12" s="28"/>
    </row>
    <row r="13" spans="1:50" ht="21">
      <c r="A13" s="53" t="s">
        <v>24</v>
      </c>
      <c r="B13" s="47">
        <v>0.17</v>
      </c>
      <c r="C13" s="47">
        <v>0.42</v>
      </c>
      <c r="D13" s="56">
        <v>0.42</v>
      </c>
      <c r="G13" s="5" t="s">
        <v>25</v>
      </c>
      <c r="H13" s="122">
        <f>$E$31</f>
        <v>0</v>
      </c>
      <c r="I13" s="123"/>
      <c r="J13" s="7"/>
      <c r="K13" s="7"/>
      <c r="L13" s="7"/>
      <c r="M13" s="7"/>
      <c r="N13" s="7"/>
      <c r="O13" s="7"/>
      <c r="P13" s="7"/>
      <c r="U13" s="5" t="s">
        <v>25</v>
      </c>
      <c r="V13" s="122">
        <f>$E$31</f>
        <v>0</v>
      </c>
      <c r="W13" s="123"/>
      <c r="Z13" s="9"/>
      <c r="AN13" s="26"/>
      <c r="AO13" s="28"/>
      <c r="AP13" s="28"/>
    </row>
    <row r="14" spans="1:50" ht="21">
      <c r="A14" s="53" t="s">
        <v>26</v>
      </c>
      <c r="B14" s="32">
        <v>102300</v>
      </c>
      <c r="C14" s="32">
        <v>56500</v>
      </c>
      <c r="D14" s="80">
        <v>56500</v>
      </c>
      <c r="G14" s="1" t="s">
        <v>27</v>
      </c>
      <c r="H14" s="124">
        <f>$E$32</f>
        <v>7500</v>
      </c>
      <c r="I14" s="125"/>
      <c r="J14" s="7"/>
      <c r="U14" s="1" t="s">
        <v>27</v>
      </c>
      <c r="V14" s="124">
        <f>$E$32</f>
        <v>7500</v>
      </c>
      <c r="W14" s="125"/>
      <c r="X14" s="7"/>
      <c r="Y14" s="24"/>
      <c r="Z14" s="24"/>
      <c r="AN14" s="26"/>
      <c r="AO14" s="27"/>
      <c r="AP14" s="27"/>
    </row>
    <row r="15" spans="1:50" ht="21">
      <c r="A15" s="53" t="s">
        <v>28</v>
      </c>
      <c r="B15" s="46" t="s">
        <v>29</v>
      </c>
      <c r="C15" s="46" t="s">
        <v>30</v>
      </c>
      <c r="D15" s="57" t="s">
        <v>31</v>
      </c>
      <c r="G15" s="2" t="s">
        <v>32</v>
      </c>
      <c r="H15" s="126">
        <f>$B$17</f>
        <v>0.09</v>
      </c>
      <c r="I15" s="127"/>
      <c r="J15" s="7"/>
      <c r="U15" s="2" t="s">
        <v>32</v>
      </c>
      <c r="V15" s="126">
        <f>$C$17</f>
        <v>7.0000000000000007E-2</v>
      </c>
      <c r="W15" s="127"/>
      <c r="Y15" s="7"/>
      <c r="AM15" s="9"/>
      <c r="AN15" s="26"/>
      <c r="AO15" s="27"/>
      <c r="AP15" s="27"/>
    </row>
    <row r="16" spans="1:50" ht="21">
      <c r="A16" s="53" t="s">
        <v>33</v>
      </c>
      <c r="B16" s="47">
        <v>0</v>
      </c>
      <c r="C16" s="47">
        <v>0.02</v>
      </c>
      <c r="D16" s="56">
        <v>0.02</v>
      </c>
      <c r="G16" s="2" t="s">
        <v>34</v>
      </c>
      <c r="H16" s="126">
        <f>$B$16</f>
        <v>0</v>
      </c>
      <c r="I16" s="127"/>
      <c r="J16" s="7"/>
      <c r="K16" s="20"/>
      <c r="L16" s="20"/>
      <c r="M16" s="20"/>
      <c r="N16" s="20"/>
      <c r="O16" s="20"/>
      <c r="P16" s="20"/>
      <c r="U16" s="2" t="s">
        <v>34</v>
      </c>
      <c r="V16" s="126">
        <f>$C$16</f>
        <v>0.02</v>
      </c>
      <c r="W16" s="127"/>
      <c r="AM16" s="9"/>
      <c r="AN16" s="26"/>
      <c r="AO16" s="27"/>
      <c r="AP16" s="28"/>
    </row>
    <row r="17" spans="1:55" ht="21.75" thickBot="1">
      <c r="A17" s="54" t="s">
        <v>35</v>
      </c>
      <c r="B17" s="58">
        <v>0.09</v>
      </c>
      <c r="C17" s="58">
        <v>7.0000000000000007E-2</v>
      </c>
      <c r="D17" s="59">
        <v>7.0000000000000007E-2</v>
      </c>
      <c r="G17" s="3" t="s">
        <v>36</v>
      </c>
      <c r="H17" s="6">
        <f>$B$22</f>
        <v>1E-3</v>
      </c>
      <c r="I17" s="11">
        <f>$C$22</f>
        <v>15</v>
      </c>
      <c r="U17" s="3" t="s">
        <v>36</v>
      </c>
      <c r="V17" s="6">
        <v>0</v>
      </c>
      <c r="W17" s="11">
        <v>0</v>
      </c>
      <c r="Y17" s="24"/>
      <c r="Z17" s="24"/>
      <c r="AA17" s="24"/>
      <c r="AN17" s="26"/>
      <c r="AO17" s="27"/>
      <c r="AP17" s="28"/>
    </row>
    <row r="18" spans="1:55" ht="16.5" thickBot="1">
      <c r="G18" s="3" t="s">
        <v>37</v>
      </c>
      <c r="H18" s="6">
        <f>$B$22</f>
        <v>1E-3</v>
      </c>
      <c r="I18" s="11">
        <f>$C$22</f>
        <v>15</v>
      </c>
      <c r="U18" s="3" t="s">
        <v>37</v>
      </c>
      <c r="V18" s="6">
        <f>$D$20</f>
        <v>1E-3</v>
      </c>
      <c r="W18" s="11">
        <f>$E$20</f>
        <v>29</v>
      </c>
      <c r="Y18" s="24"/>
      <c r="Z18" s="24"/>
      <c r="AA18" s="24"/>
      <c r="AN18" s="26"/>
      <c r="AO18" s="27"/>
      <c r="AP18" s="27"/>
      <c r="AQ18" s="7"/>
    </row>
    <row r="19" spans="1:55" ht="24" thickBot="1">
      <c r="A19" s="69" t="s">
        <v>38</v>
      </c>
      <c r="B19" s="119" t="s">
        <v>39</v>
      </c>
      <c r="C19" s="120"/>
      <c r="D19" s="120" t="s">
        <v>40</v>
      </c>
      <c r="E19" s="121"/>
      <c r="G19" s="3" t="s">
        <v>41</v>
      </c>
      <c r="H19" s="133">
        <f>$B$25</f>
        <v>5.0000000000000001E-3</v>
      </c>
      <c r="I19" s="134"/>
      <c r="J19" s="10"/>
      <c r="U19" s="3" t="s">
        <v>41</v>
      </c>
      <c r="V19" s="133">
        <v>0</v>
      </c>
      <c r="W19" s="134"/>
      <c r="X19" s="7"/>
      <c r="Y19" s="24"/>
      <c r="Z19" s="24"/>
      <c r="AA19" s="24"/>
      <c r="AN19" s="26"/>
      <c r="AO19" s="27"/>
      <c r="AP19" s="27"/>
    </row>
    <row r="20" spans="1:55" ht="18.75">
      <c r="A20" s="70" t="s">
        <v>42</v>
      </c>
      <c r="B20" s="65">
        <v>1E-3</v>
      </c>
      <c r="C20" s="63">
        <v>14</v>
      </c>
      <c r="D20" s="65">
        <v>1E-3</v>
      </c>
      <c r="E20" s="66">
        <v>29</v>
      </c>
      <c r="G20" s="3" t="s">
        <v>43</v>
      </c>
      <c r="H20" s="6">
        <f>$B$25</f>
        <v>5.0000000000000001E-3</v>
      </c>
      <c r="I20" s="13" t="s">
        <v>44</v>
      </c>
      <c r="J20" s="10"/>
      <c r="U20" s="3" t="s">
        <v>43</v>
      </c>
      <c r="V20" s="6">
        <v>0</v>
      </c>
      <c r="W20" s="13" t="s">
        <v>44</v>
      </c>
      <c r="X20" s="7"/>
      <c r="Y20" s="7"/>
      <c r="AN20" s="26"/>
      <c r="AO20" s="27"/>
      <c r="AP20" s="29"/>
    </row>
    <row r="21" spans="1:55" ht="18.75">
      <c r="A21" s="71" t="s">
        <v>45</v>
      </c>
      <c r="B21" s="62">
        <v>1E-3</v>
      </c>
      <c r="C21" s="63">
        <v>20</v>
      </c>
      <c r="D21" s="64">
        <v>1.5E-3</v>
      </c>
      <c r="E21" s="66">
        <v>85</v>
      </c>
      <c r="G21" s="3" t="s">
        <v>46</v>
      </c>
      <c r="H21" s="6">
        <f>$B$10</f>
        <v>1E-3</v>
      </c>
      <c r="I21" s="16">
        <f>(IF($H$14= 0, 0, MAX($I$17,$H$14*$H$17) +$H$14*$H$19))</f>
        <v>52.5</v>
      </c>
      <c r="U21" s="3" t="s">
        <v>46</v>
      </c>
      <c r="V21" s="6">
        <f>$C$10</f>
        <v>5.0000000000000001E-3</v>
      </c>
      <c r="W21" s="16">
        <f>(IF($V$14= 0, 0, MAX($W$17,$V$14*$V$17) +$V$14*$V$19))</f>
        <v>0</v>
      </c>
      <c r="X21" s="7"/>
      <c r="Y21" s="7"/>
      <c r="Z21" s="10"/>
      <c r="AN21" s="26"/>
      <c r="AO21" s="27"/>
      <c r="AP21" s="30"/>
      <c r="AR21" s="7"/>
      <c r="AS21" s="7"/>
      <c r="AT21" s="7"/>
      <c r="AU21" s="7"/>
    </row>
    <row r="22" spans="1:55" ht="18" customHeight="1" thickBot="1">
      <c r="A22" s="72" t="s">
        <v>47</v>
      </c>
      <c r="B22" s="62">
        <v>1E-3</v>
      </c>
      <c r="C22" s="63">
        <v>15</v>
      </c>
      <c r="D22" s="64">
        <v>1.5E-3</v>
      </c>
      <c r="E22" s="66">
        <v>90</v>
      </c>
      <c r="G22" s="4" t="s">
        <v>48</v>
      </c>
      <c r="H22" s="17" t="s">
        <v>49</v>
      </c>
      <c r="I22" s="18" t="s">
        <v>50</v>
      </c>
      <c r="K22" s="7"/>
      <c r="L22" s="7"/>
      <c r="M22" s="7"/>
      <c r="N22" s="7"/>
      <c r="O22" s="7"/>
      <c r="P22" s="7"/>
      <c r="U22" s="4" t="s">
        <v>48</v>
      </c>
      <c r="V22" s="14" t="s">
        <v>51</v>
      </c>
      <c r="W22" s="18" t="s">
        <v>50</v>
      </c>
      <c r="X22" s="10"/>
      <c r="Y22" s="10"/>
      <c r="Z22" s="10"/>
      <c r="AN22" s="26"/>
      <c r="AO22" s="27"/>
      <c r="AP22" s="29"/>
    </row>
    <row r="23" spans="1:55" ht="18" customHeight="1" thickBot="1">
      <c r="B23" s="67"/>
      <c r="E23" s="68"/>
      <c r="G23" s="4" t="s">
        <v>52</v>
      </c>
      <c r="H23" s="14">
        <f>$B$12</f>
        <v>0.17</v>
      </c>
      <c r="I23" s="19">
        <f>(IF($H$13= 0, 0, MAX($I$17,$H$13*$H$17) +$H$13*$H$19))</f>
        <v>0</v>
      </c>
      <c r="K23" s="7"/>
      <c r="L23" s="7"/>
      <c r="M23" s="7"/>
      <c r="N23" s="7"/>
      <c r="O23" s="7"/>
      <c r="P23" s="7"/>
      <c r="U23" s="4" t="s">
        <v>52</v>
      </c>
      <c r="V23" s="14">
        <f>$C$12</f>
        <v>0.27</v>
      </c>
      <c r="W23" s="19">
        <f>(IF($V$13= 0, 0, MAX($W$17,$V$13*$V$17) +$V$13*$V$19))</f>
        <v>0</v>
      </c>
      <c r="Z23" s="10"/>
      <c r="AN23" s="26"/>
      <c r="AO23" s="27"/>
      <c r="AP23" s="27"/>
    </row>
    <row r="24" spans="1:55" ht="24" thickBot="1">
      <c r="A24" s="60" t="s">
        <v>53</v>
      </c>
      <c r="E24" s="68"/>
      <c r="G24" s="4" t="s">
        <v>54</v>
      </c>
      <c r="H24" s="131">
        <f>$B$13</f>
        <v>0.17</v>
      </c>
      <c r="I24" s="132"/>
      <c r="K24" s="7"/>
      <c r="L24" s="7"/>
      <c r="M24" s="7"/>
      <c r="N24" s="7"/>
      <c r="O24" s="7"/>
      <c r="P24" s="7"/>
      <c r="U24" s="4" t="s">
        <v>54</v>
      </c>
      <c r="V24" s="131">
        <f>$C$13</f>
        <v>0.42</v>
      </c>
      <c r="W24" s="132"/>
      <c r="AN24" s="26"/>
      <c r="AO24" s="32"/>
      <c r="AP24" s="32"/>
    </row>
    <row r="25" spans="1:55" ht="18.75">
      <c r="A25" s="71" t="s">
        <v>55</v>
      </c>
      <c r="B25" s="100">
        <v>5.0000000000000001E-3</v>
      </c>
      <c r="C25" s="101"/>
      <c r="D25" s="102">
        <v>2.5000000000000001E-3</v>
      </c>
      <c r="E25" s="103"/>
      <c r="G25" s="4" t="s">
        <v>56</v>
      </c>
      <c r="H25" s="128">
        <f>$B$14</f>
        <v>102300</v>
      </c>
      <c r="I25" s="129"/>
      <c r="U25" s="4" t="s">
        <v>57</v>
      </c>
      <c r="V25" s="128">
        <f>$C$14</f>
        <v>56500</v>
      </c>
      <c r="W25" s="129"/>
    </row>
    <row r="26" spans="1:55" ht="24" thickBot="1">
      <c r="A26" s="72" t="s">
        <v>58</v>
      </c>
      <c r="B26" s="104">
        <v>1.5E-3</v>
      </c>
      <c r="C26" s="105"/>
      <c r="D26" s="106">
        <v>7.5000000000000002E-4</v>
      </c>
      <c r="E26" s="107"/>
      <c r="O26" s="98" t="s">
        <v>59</v>
      </c>
      <c r="P26" s="99"/>
      <c r="X26" s="25"/>
      <c r="Y26" s="25"/>
      <c r="Z26" s="25"/>
      <c r="AE26" s="98" t="s">
        <v>59</v>
      </c>
      <c r="AF26" s="130"/>
      <c r="AG26" s="130"/>
      <c r="AH26" s="99"/>
      <c r="AN26" s="25"/>
      <c r="AO26" s="25"/>
      <c r="AP26" s="25"/>
      <c r="AQ26" s="25"/>
      <c r="AR26" s="25"/>
      <c r="AS26" s="25"/>
      <c r="AT26" s="25"/>
      <c r="AU26" s="25"/>
    </row>
    <row r="27" spans="1:55" ht="24" thickBot="1">
      <c r="G27" s="8" t="s">
        <v>60</v>
      </c>
      <c r="H27" s="8" t="s">
        <v>61</v>
      </c>
      <c r="I27" s="8" t="s">
        <v>62</v>
      </c>
      <c r="J27" s="8" t="s">
        <v>63</v>
      </c>
      <c r="K27" s="8" t="s">
        <v>64</v>
      </c>
      <c r="L27" s="8" t="s">
        <v>65</v>
      </c>
      <c r="M27" s="8" t="s">
        <v>66</v>
      </c>
      <c r="N27" s="8" t="s">
        <v>67</v>
      </c>
      <c r="O27" s="8" t="s">
        <v>68</v>
      </c>
      <c r="P27" s="8" t="s">
        <v>69</v>
      </c>
      <c r="U27" s="8" t="s">
        <v>60</v>
      </c>
      <c r="V27" s="8" t="s">
        <v>61</v>
      </c>
      <c r="W27" s="8" t="s">
        <v>63</v>
      </c>
      <c r="X27" s="8" t="s">
        <v>64</v>
      </c>
      <c r="Y27" s="8" t="s">
        <v>70</v>
      </c>
      <c r="Z27" s="8" t="s">
        <v>71</v>
      </c>
      <c r="AA27" s="8" t="s">
        <v>72</v>
      </c>
      <c r="AB27" s="8" t="s">
        <v>73</v>
      </c>
      <c r="AC27" s="8" t="s">
        <v>74</v>
      </c>
      <c r="AD27" s="8" t="s">
        <v>75</v>
      </c>
      <c r="AE27" s="8" t="s">
        <v>68</v>
      </c>
      <c r="AF27" s="8" t="s">
        <v>76</v>
      </c>
      <c r="AG27" s="8" t="s">
        <v>77</v>
      </c>
      <c r="AH27" s="8" t="s">
        <v>78</v>
      </c>
      <c r="AN27" s="75" t="str">
        <f>$G$27</f>
        <v>Tid (år)</v>
      </c>
      <c r="AO27" s="76" t="str">
        <f>$V$27</f>
        <v>Investering</v>
      </c>
      <c r="AP27" s="76" t="s">
        <v>79</v>
      </c>
      <c r="AQ27" s="76"/>
      <c r="AR27" s="76"/>
      <c r="AS27" s="85" t="s">
        <v>80</v>
      </c>
      <c r="AT27" s="86"/>
      <c r="AU27" s="87"/>
      <c r="AV27" s="76" t="s">
        <v>81</v>
      </c>
      <c r="AW27" s="76"/>
      <c r="AX27" s="76"/>
      <c r="AY27" s="77" t="s">
        <v>82</v>
      </c>
      <c r="AZ27" s="76"/>
      <c r="BA27" s="78"/>
    </row>
    <row r="28" spans="1:55" ht="24" thickBot="1">
      <c r="A28" s="60" t="s">
        <v>83</v>
      </c>
      <c r="D28" s="21"/>
      <c r="E28" s="21"/>
      <c r="G28">
        <v>1</v>
      </c>
      <c r="H28" s="10">
        <f>$H$13</f>
        <v>0</v>
      </c>
      <c r="I28" s="10">
        <f>SUM($H$28:H28)</f>
        <v>0</v>
      </c>
      <c r="J28" s="10">
        <f>H28-IF(H28=0,0,$I$23)</f>
        <v>0</v>
      </c>
      <c r="K28" s="10">
        <f>J28</f>
        <v>0</v>
      </c>
      <c r="L28" s="10">
        <f t="shared" ref="L28:L59" si="0">(K28*($H$15-$H$21+1)^($G$28))</f>
        <v>0</v>
      </c>
      <c r="M28" s="10">
        <f t="shared" ref="M28:M59" si="1">(L28-K28)*$H$23</f>
        <v>0</v>
      </c>
      <c r="N28" s="10">
        <f>L28-M28</f>
        <v>0</v>
      </c>
      <c r="O28" s="7">
        <f>MAX($I$18,$H$18*N28)+N28*$H$20</f>
        <v>15</v>
      </c>
      <c r="P28" s="10">
        <f>N28-O28</f>
        <v>-15</v>
      </c>
      <c r="U28">
        <v>1</v>
      </c>
      <c r="V28" s="10">
        <f>H28</f>
        <v>0</v>
      </c>
      <c r="W28" s="10">
        <f>V28-IF(V28=0,0,$W$23)</f>
        <v>0</v>
      </c>
      <c r="X28" s="10">
        <f>$W$28</f>
        <v>0</v>
      </c>
      <c r="Y28" s="94">
        <f>X28*$V$16</f>
        <v>0</v>
      </c>
      <c r="Z28" s="94">
        <f>IF(Y28&gt;=$V$25,$V$25*$V$23,Y28*$V$23)</f>
        <v>0</v>
      </c>
      <c r="AA28" s="95">
        <f>IF(Y28&gt;=$V$25,(Y28-$V$25)*$V$24,0)</f>
        <v>0</v>
      </c>
      <c r="AB28" s="94">
        <f>(X28*($V$15-$V$21+1)^($U$28)) + (Y28-Z28-AA28)</f>
        <v>0</v>
      </c>
      <c r="AC28" s="10">
        <f>AB28-X28</f>
        <v>0</v>
      </c>
      <c r="AD28" s="10">
        <f>SUM($AC$28:AC28)</f>
        <v>0</v>
      </c>
      <c r="AE28" s="94">
        <f>MAX($W$18,$V$18*AB28)+AB28*$V$20</f>
        <v>29</v>
      </c>
      <c r="AF28" s="94">
        <f t="shared" ref="AF28:AF78" si="2">IF(Y28+AD28&gt;=$V$25,MAX($V$25-Y28,0)*$V$23,AD28*$V$23)</f>
        <v>0</v>
      </c>
      <c r="AG28" s="95">
        <f t="shared" ref="AG28:AG33" si="3">IF(Y28+AD28&gt;=$V$25,(AD28-MAX($V$25-Y28, 0))*$V$24,0)</f>
        <v>0</v>
      </c>
      <c r="AH28" s="10">
        <f>AB28-AE28-AF28-AG28</f>
        <v>-29</v>
      </c>
      <c r="AM28" s="10"/>
      <c r="AN28" cm="1">
        <f t="array" ref="AN28:AN32">_xlfn._xlws.FILTER($G$28:$G$78,$G$28:$G$78&lt;=$E$33)</f>
        <v>1</v>
      </c>
      <c r="AO28" s="90" cm="1">
        <f t="array" ref="AO28:AO32">_xlfn._xlws.FILTER($I$28:$I$78,$G$28:$G$78&lt;=E33)</f>
        <v>0</v>
      </c>
      <c r="AP28" s="10" cm="1">
        <f t="array" ref="AP28:AP31">_xlfn._xlws.FILTER($N$28:$N$78,$G$28:$G$78&lt;=$E$33-1)</f>
        <v>0</v>
      </c>
      <c r="AQ28" s="73">
        <f t="shared" ref="AQ28:AQ59" si="4">IF(AND(ISBLANK(AP28),ISBLANK(AP27)),"",IF(ISBLANK(AP28),$B$30,AP28))</f>
        <v>0</v>
      </c>
      <c r="AR28" s="79" cm="1">
        <f t="array" ref="AR28">IFERROR(INDEX($AQ$28:$AQ$78,_xlfn.AGGREGATE(15,3,ROW($AQ$28:$AQ$78)-ROW($AN$27)/($AQ$28:$AQ$78&lt;&gt;""),ROWS($AN$28:AN28))),"")</f>
        <v>0</v>
      </c>
      <c r="AS28" s="73" cm="1">
        <f t="array" ref="AS28:AS31">_xlfn._xlws.FILTER($N$101:$N$151,$G$101:$G$151&lt;=$E$33-1)</f>
        <v>0</v>
      </c>
      <c r="AT28" s="73">
        <f>IF(AND(ISBLANK(AS28),ISBLANK(AS27)),"",IF(ISBLANK(AS28),$B$31,AS28))</f>
        <v>0</v>
      </c>
      <c r="AU28" s="84" cm="1">
        <f t="array" ref="AU28">IFERROR(INDEX($AT$28:$AT$78,_xlfn.AGGREGATE(15,3,ROW($AT$28:$AT$78)-ROW($AN$27)/($AT$28:$AT$78&lt;&gt;""),ROWS($AN$28:AN28))),"")</f>
        <v>0</v>
      </c>
      <c r="AV28" s="10" cm="1">
        <f t="array" ref="AV28:AV31">_xlfn._xlws.FILTER($AB$28:$AB$78,$G$28:$G$78&lt;=$E$33-1)</f>
        <v>0</v>
      </c>
      <c r="AW28" s="10">
        <f t="shared" ref="AW28:AW59" si="5">IF(AND(ISBLANK(AV28),ISBLANK(AV27)),"",IF(ISBLANK(AV28),$B$32,AV28))</f>
        <v>0</v>
      </c>
      <c r="AX28" s="88" cm="1">
        <f t="array" ref="AX28">IFERROR(INDEX($AW$28:$AW$78,_xlfn.AGGREGATE(15,3,ROW($AW$28:$AW$78)-ROW($AN$27)/($AW$28:$AW$78&lt;&gt;""),ROWS($AN$28:AN28))),"")</f>
        <v>0</v>
      </c>
      <c r="AY28" s="10" cm="1">
        <f t="array" ref="AY28:AY31">_xlfn._xlws.FILTER($AB$101:$AB$151,$G$28:$G$78&lt;=$E$33-1)</f>
        <v>0</v>
      </c>
      <c r="AZ28" s="10">
        <f>IF(AND(ISBLANK(AY28),ISBLANK(AY27)),"",IF(ISBLANK(AY28),$B$33,AY28))</f>
        <v>0</v>
      </c>
      <c r="BA28" s="10" cm="1">
        <f t="array" ref="BA28">IFERROR(INDEX($AZ$28:$AZ$78,_xlfn.AGGREGATE(15,3,ROW($AZ$28:$AZ$78)-ROW($AN$27)/($AZ$28:$AZ$78&lt;&gt;""),ROWS($AN$28:AN28))),"")</f>
        <v>0</v>
      </c>
      <c r="BB28" s="10"/>
    </row>
    <row r="29" spans="1:55" ht="18.75">
      <c r="A29" s="41" t="str">
        <f>$I$27</f>
        <v>Investering (i alt)</v>
      </c>
      <c r="B29" s="81" cm="1">
        <f t="array" ref="B29">INDEX($I$29:$I$78,$E$33-1,1)</f>
        <v>180000</v>
      </c>
      <c r="G29">
        <v>2</v>
      </c>
      <c r="H29" s="10">
        <f>12*$H$14</f>
        <v>90000</v>
      </c>
      <c r="I29" s="10">
        <f>SUM($H$28:H29)</f>
        <v>90000</v>
      </c>
      <c r="J29" s="10">
        <f>H29-IF(H29=0,0,$I$21*12)</f>
        <v>89370</v>
      </c>
      <c r="K29" s="10">
        <f>N28+J29</f>
        <v>89370</v>
      </c>
      <c r="L29" s="10">
        <f t="shared" si="0"/>
        <v>97323.93</v>
      </c>
      <c r="M29" s="10">
        <f t="shared" si="1"/>
        <v>1352.168099999999</v>
      </c>
      <c r="N29" s="10">
        <f>L29-M29</f>
        <v>95971.761899999998</v>
      </c>
      <c r="O29" s="7">
        <f t="shared" ref="O29:O78" si="6">MAX($I$18,$H$18*N29)+N29*$H$20</f>
        <v>575.83057140000005</v>
      </c>
      <c r="P29" s="10">
        <f t="shared" ref="P29:P78" si="7">N29-O29</f>
        <v>95395.931328599996</v>
      </c>
      <c r="U29">
        <v>2</v>
      </c>
      <c r="V29" s="10">
        <f t="shared" ref="V29:V78" si="8">H29</f>
        <v>90000</v>
      </c>
      <c r="W29" s="10">
        <f>V29-IF(V29=0,0,$W$21*12)</f>
        <v>90000</v>
      </c>
      <c r="X29" s="10">
        <f>AB28+W29</f>
        <v>90000</v>
      </c>
      <c r="Y29" s="94">
        <f>X29*$V$16</f>
        <v>1800</v>
      </c>
      <c r="Z29" s="94">
        <f>IF(Y29&gt;=$V$25,$V$25*$V$23,Y29*$V$23)</f>
        <v>486.00000000000006</v>
      </c>
      <c r="AA29" s="95">
        <f>IF(Y29&gt;=$V$25,(Y29-$V$25)*$V$24,0)</f>
        <v>0</v>
      </c>
      <c r="AB29" s="94">
        <f>(X29*($V$15-$V$21+1)^($U$28)) + (Y29-Z29-AA29)</f>
        <v>97164</v>
      </c>
      <c r="AC29" s="10">
        <f>AB29-X29</f>
        <v>7164</v>
      </c>
      <c r="AD29" s="10">
        <f>SUM($AC$28:AC29)</f>
        <v>7164</v>
      </c>
      <c r="AE29" s="94">
        <f t="shared" ref="AE29:AE78" si="9">MAX($W$18,$V$18*AB29)+AB29*$V$20</f>
        <v>97.164000000000001</v>
      </c>
      <c r="AF29" s="94">
        <f t="shared" si="2"/>
        <v>1934.2800000000002</v>
      </c>
      <c r="AG29" s="95">
        <f t="shared" si="3"/>
        <v>0</v>
      </c>
      <c r="AH29" s="10">
        <f>AB29-AE29-AF29-AG29</f>
        <v>95132.555999999997</v>
      </c>
      <c r="AM29" s="12"/>
      <c r="AN29">
        <v>2</v>
      </c>
      <c r="AO29" s="91">
        <v>90000</v>
      </c>
      <c r="AP29" s="10">
        <v>95971.761899999998</v>
      </c>
      <c r="AQ29" s="73">
        <f t="shared" si="4"/>
        <v>95971.761899999998</v>
      </c>
      <c r="AR29" s="79" cm="1">
        <f t="array" ref="AR29">IFERROR(INDEX($AQ$28:$AQ$78,_xlfn.AGGREGATE(15,3,ROW($AQ$28:$AQ$78)-ROW($AN$27)/($AQ$28:$AQ$78&lt;&gt;""),ROWS($AN$28:AN29))),"")</f>
        <v>95971.761899999998</v>
      </c>
      <c r="AS29" s="73">
        <v>95246.899649999992</v>
      </c>
      <c r="AT29" s="73">
        <f t="shared" ref="AT29:AT77" si="10">IF(AND(ISBLANK(AS29),ISBLANK(AS28)),"",IF(ISBLANK(AS29),$B$31,AS29))</f>
        <v>95246.899649999992</v>
      </c>
      <c r="AU29" s="84" cm="1">
        <f t="array" ref="AU29">IFERROR(INDEX($AT$28:$AT$78,_xlfn.AGGREGATE(15,3,ROW($AT$28:$AT$78)-ROW($AN$27)/($AT$28:$AT$78&lt;&gt;""),ROWS($AN$28:AN29))),"")</f>
        <v>95246.899649999992</v>
      </c>
      <c r="AV29" s="10">
        <v>97164</v>
      </c>
      <c r="AW29" s="10">
        <f t="shared" si="5"/>
        <v>97164</v>
      </c>
      <c r="AX29" s="89" cm="1">
        <f t="array" ref="AX29">IFERROR(INDEX($AW$28:$AW$78,_xlfn.AGGREGATE(15,3,ROW($AW$28:$AW$78)-ROW($AN$27)/($AW$28:$AW$78&lt;&gt;""),ROWS($AN$28:AN29))),"")</f>
        <v>97164</v>
      </c>
      <c r="AY29" s="10">
        <v>96865.626000000018</v>
      </c>
      <c r="AZ29" s="10">
        <f t="shared" ref="AZ29:AZ77" si="11">IF(AND(ISBLANK(AY29),ISBLANK(AY28)),"",IF(ISBLANK(AY29),$B$33,AY29))</f>
        <v>96865.626000000018</v>
      </c>
      <c r="BA29" s="10" cm="1">
        <f t="array" ref="BA29">IFERROR(INDEX($AZ$28:$AZ$78,_xlfn.AGGREGATE(15,3,ROW($AZ$28:$AZ$78)-ROW($AN$27)/($AZ$28:$AZ$78&lt;&gt;""),ROWS($AN$28:AN29))),"")</f>
        <v>96865.626000000018</v>
      </c>
      <c r="BB29" s="10"/>
      <c r="BC29" s="33"/>
    </row>
    <row r="30" spans="1:55" ht="19.5" thickBot="1">
      <c r="A30" s="42" t="str">
        <f>$G$10</f>
        <v>Aktiesparekonto (Saxo Bank) (Tyske ETF'er)</v>
      </c>
      <c r="B30" s="82" cm="1">
        <f t="array" ref="B30">INDEX($P$29:$P$78,$E$33-1,1)</f>
        <v>228147.02049833676</v>
      </c>
      <c r="G30">
        <v>3</v>
      </c>
      <c r="H30" s="10">
        <f t="shared" ref="H30:H61" si="12">IF(N29&gt;$H$25,0,12*$H$14)</f>
        <v>90000</v>
      </c>
      <c r="I30" s="10">
        <f>SUM($H$28:H30)</f>
        <v>180000</v>
      </c>
      <c r="J30" s="10">
        <f t="shared" ref="J30:J78" si="13">H30-IF(H30=0,0,$I$21*12)</f>
        <v>89370</v>
      </c>
      <c r="K30" s="10">
        <f t="shared" ref="K30:K60" si="14">N29+J30</f>
        <v>185341.76189999998</v>
      </c>
      <c r="L30" s="10">
        <f t="shared" si="0"/>
        <v>201837.17870909997</v>
      </c>
      <c r="M30" s="10">
        <f t="shared" si="1"/>
        <v>2804.2208575469981</v>
      </c>
      <c r="N30" s="10">
        <f t="shared" ref="N30:N78" si="15">L30-M30</f>
        <v>199032.95785155299</v>
      </c>
      <c r="O30" s="7">
        <f t="shared" si="6"/>
        <v>1194.197747109318</v>
      </c>
      <c r="P30" s="10">
        <f t="shared" si="7"/>
        <v>197838.76010444367</v>
      </c>
      <c r="U30">
        <v>3</v>
      </c>
      <c r="V30" s="10">
        <f t="shared" si="8"/>
        <v>90000</v>
      </c>
      <c r="W30" s="10">
        <f t="shared" ref="W30:W78" si="16">V30-IF(V30=0,0,$W$21*12)</f>
        <v>90000</v>
      </c>
      <c r="X30" s="10">
        <f>AB29+W30</f>
        <v>187164</v>
      </c>
      <c r="Y30" s="94">
        <f>X30*$V$16</f>
        <v>3743.28</v>
      </c>
      <c r="Z30" s="94">
        <f>IF(Y30&gt;=$V$25,$V$25*$V$23,Y30*$V$23)</f>
        <v>1010.6856000000001</v>
      </c>
      <c r="AA30" s="95">
        <f>IF(Y30&gt;=$V$25,(Y30-$V$25)*$V$24,0)</f>
        <v>0</v>
      </c>
      <c r="AB30" s="94">
        <f>(X30*($V$15-$V$21+1)^($U$28)) + (Y30-Z30-AA30)</f>
        <v>202062.25440000001</v>
      </c>
      <c r="AC30" s="10">
        <f>AB30-X30</f>
        <v>14898.254400000005</v>
      </c>
      <c r="AD30" s="10">
        <f>SUM($AC$28:AC30)</f>
        <v>22062.254400000005</v>
      </c>
      <c r="AE30" s="94">
        <f t="shared" si="9"/>
        <v>202.0622544</v>
      </c>
      <c r="AF30" s="94">
        <f t="shared" si="2"/>
        <v>5956.8086880000019</v>
      </c>
      <c r="AG30" s="95">
        <f t="shared" si="3"/>
        <v>0</v>
      </c>
      <c r="AH30" s="10">
        <f>AB30-AE30-AF30-AG30</f>
        <v>195903.38345760002</v>
      </c>
      <c r="AM30" s="12"/>
      <c r="AN30">
        <v>3</v>
      </c>
      <c r="AO30" s="91">
        <v>180000</v>
      </c>
      <c r="AP30" s="10">
        <v>199032.95785155299</v>
      </c>
      <c r="AQ30" s="73">
        <f t="shared" si="4"/>
        <v>199032.95785155299</v>
      </c>
      <c r="AR30" s="79" cm="1">
        <f t="array" ref="AR30">IFERROR(INDEX($AQ$28:$AQ$78,_xlfn.AGGREGATE(15,3,ROW($AQ$28:$AQ$78)-ROW($AN$27)/($AQ$28:$AQ$78&lt;&gt;""),ROWS($AN$28:AN30))),"")</f>
        <v>199032.95785155299</v>
      </c>
      <c r="AS30" s="73">
        <v>197529.68777714547</v>
      </c>
      <c r="AT30" s="73">
        <f t="shared" si="10"/>
        <v>197529.68777714547</v>
      </c>
      <c r="AU30" s="84" cm="1">
        <f t="array" ref="AU30">IFERROR(INDEX($AT$28:$AT$78,_xlfn.AGGREGATE(15,3,ROW($AT$28:$AT$78)-ROW($AN$27)/($AT$28:$AT$78&lt;&gt;""),ROWS($AN$28:AN30))),"")</f>
        <v>197529.68777714547</v>
      </c>
      <c r="AV30" s="10">
        <v>202062.25440000001</v>
      </c>
      <c r="AW30" s="10">
        <f t="shared" si="5"/>
        <v>202062.25440000001</v>
      </c>
      <c r="AX30" s="89" cm="1">
        <f t="array" ref="AX30">IFERROR(INDEX($AW$28:$AW$78,_xlfn.AGGREGATE(15,3,ROW($AW$28:$AW$78)-ROW($AN$27)/($AW$28:$AW$78&lt;&gt;""),ROWS($AN$28:AN30))),"")</f>
        <v>202062.25440000001</v>
      </c>
      <c r="AY30" s="10">
        <v>201926.08395960004</v>
      </c>
      <c r="AZ30" s="10">
        <f t="shared" si="11"/>
        <v>201926.08395960004</v>
      </c>
      <c r="BA30" s="10" cm="1">
        <f t="array" ref="BA30">IFERROR(INDEX($AZ$28:$AZ$78,_xlfn.AGGREGATE(15,3,ROW($AZ$28:$AZ$78)-ROW($AN$27)/($AZ$28:$AZ$78&lt;&gt;""),ROWS($AN$28:AN30))),"")</f>
        <v>201926.08395960004</v>
      </c>
      <c r="BB30" s="10"/>
      <c r="BC30" s="33"/>
    </row>
    <row r="31" spans="1:55" ht="26.25">
      <c r="A31" s="42" t="str">
        <f>$G$83</f>
        <v>Aktiesparekonto (Nordnet) (Tyske ETF'er)</v>
      </c>
      <c r="B31" s="82" cm="1">
        <f t="array" ref="B31">INDEX($P$102:$P$151,$E$33-1,1)</f>
        <v>226879.43688952082</v>
      </c>
      <c r="D31" s="37" t="s">
        <v>84</v>
      </c>
      <c r="E31" s="39">
        <v>0</v>
      </c>
      <c r="G31">
        <v>4</v>
      </c>
      <c r="H31" s="10">
        <f t="shared" si="12"/>
        <v>0</v>
      </c>
      <c r="I31" s="10">
        <f>SUM($H$28:H31)</f>
        <v>180000</v>
      </c>
      <c r="J31" s="10">
        <f t="shared" si="13"/>
        <v>0</v>
      </c>
      <c r="K31" s="10">
        <f t="shared" si="14"/>
        <v>199032.95785155299</v>
      </c>
      <c r="L31" s="10">
        <f t="shared" si="0"/>
        <v>216746.89110034119</v>
      </c>
      <c r="M31" s="10">
        <f t="shared" si="1"/>
        <v>3011.3686522939952</v>
      </c>
      <c r="N31" s="10">
        <f t="shared" si="15"/>
        <v>213735.52244804721</v>
      </c>
      <c r="O31" s="7">
        <f t="shared" si="6"/>
        <v>1282.4131346882834</v>
      </c>
      <c r="P31" s="10">
        <f t="shared" si="7"/>
        <v>212453.10931335893</v>
      </c>
      <c r="U31">
        <v>4</v>
      </c>
      <c r="V31" s="10">
        <f t="shared" si="8"/>
        <v>0</v>
      </c>
      <c r="W31" s="10">
        <f t="shared" si="16"/>
        <v>0</v>
      </c>
      <c r="X31" s="10">
        <f t="shared" ref="X31:X78" si="17">AB30+W31</f>
        <v>202062.25440000001</v>
      </c>
      <c r="Y31" s="94">
        <f t="shared" ref="Y31:Y78" si="18">X31*$V$16</f>
        <v>4041.2450880000001</v>
      </c>
      <c r="Z31" s="94">
        <f t="shared" ref="Z31:Z78" si="19">IF(Y31&gt;=$V$25,$V$25*$V$23,Y31*$V$23)</f>
        <v>1091.13617376</v>
      </c>
      <c r="AA31" s="95">
        <f t="shared" ref="AA31:AA78" si="20">IF(Y31&gt;=$V$25,(Y31-$V$25)*$V$24,0)</f>
        <v>0</v>
      </c>
      <c r="AB31" s="94">
        <f t="shared" ref="AB31:AB78" si="21">(X31*($V$15-$V$21+1)^($U$28)) + (Y31-Z31-AA31)</f>
        <v>218146.40985023999</v>
      </c>
      <c r="AC31" s="10">
        <f t="shared" ref="AC31:AC78" si="22">AB31-X31</f>
        <v>16084.155450239981</v>
      </c>
      <c r="AD31" s="10">
        <f>SUM($AC$28:AC31)</f>
        <v>38146.409850239987</v>
      </c>
      <c r="AE31" s="94">
        <f t="shared" si="9"/>
        <v>218.14640985023999</v>
      </c>
      <c r="AF31" s="94">
        <f t="shared" si="2"/>
        <v>10299.530659564796</v>
      </c>
      <c r="AG31" s="95">
        <f t="shared" si="3"/>
        <v>0</v>
      </c>
      <c r="AH31" s="10">
        <f t="shared" ref="AH31:AH78" si="23">AB31-AE31-AF31-AG31</f>
        <v>207628.73278082494</v>
      </c>
      <c r="AM31" s="12"/>
      <c r="AN31">
        <v>4</v>
      </c>
      <c r="AO31" s="91">
        <v>180000</v>
      </c>
      <c r="AP31" s="10">
        <v>213735.52244804721</v>
      </c>
      <c r="AQ31" s="73">
        <f t="shared" si="4"/>
        <v>213735.52244804721</v>
      </c>
      <c r="AR31" s="79" cm="1">
        <f t="array" ref="AR31">IFERROR(INDEX($AQ$28:$AQ$78,_xlfn.AGGREGATE(15,3,ROW($AQ$28:$AQ$78)-ROW($AN$27)/($AQ$28:$AQ$78&lt;&gt;""),ROWS($AN$28:AN31))),"")</f>
        <v>213735.52244804721</v>
      </c>
      <c r="AS31" s="73">
        <v>212121.2058132432</v>
      </c>
      <c r="AT31" s="73">
        <f t="shared" si="10"/>
        <v>212121.2058132432</v>
      </c>
      <c r="AU31" s="84" cm="1">
        <f t="array" ref="AU31">IFERROR(INDEX($AT$28:$AT$78,_xlfn.AGGREGATE(15,3,ROW($AT$28:$AT$78)-ROW($AN$27)/($AT$28:$AT$78&lt;&gt;""),ROWS($AN$28:AN31))),"")</f>
        <v>212121.2058132432</v>
      </c>
      <c r="AV31" s="10">
        <v>218146.40985023999</v>
      </c>
      <c r="AW31" s="10">
        <f t="shared" si="5"/>
        <v>218146.40985023999</v>
      </c>
      <c r="AX31" s="89" cm="1">
        <f t="array" ref="AX31">IFERROR(INDEX($AW$28:$AW$78,_xlfn.AGGREGATE(15,3,ROW($AW$28:$AW$78)-ROW($AN$27)/($AW$28:$AW$78&lt;&gt;""),ROWS($AN$28:AN31))),"")</f>
        <v>218146.40985023999</v>
      </c>
      <c r="AY31" s="10">
        <v>219009.03066258223</v>
      </c>
      <c r="AZ31" s="10">
        <f t="shared" si="11"/>
        <v>219009.03066258223</v>
      </c>
      <c r="BA31" s="10" cm="1">
        <f t="array" ref="BA31">IFERROR(INDEX($AZ$28:$AZ$78,_xlfn.AGGREGATE(15,3,ROW($AZ$28:$AZ$78)-ROW($AN$27)/($AZ$28:$AZ$78&lt;&gt;""),ROWS($AN$28:AN31))),"")</f>
        <v>219009.03066258223</v>
      </c>
      <c r="BB31" s="10"/>
      <c r="BC31" s="33"/>
    </row>
    <row r="32" spans="1:55" ht="26.25">
      <c r="A32" s="42" t="str">
        <f>$U$10</f>
        <v>Månedsopsparing (Nordnet) (Danske fonde)</v>
      </c>
      <c r="B32" s="82" cm="1">
        <f t="array" ref="B32">INDEX($AH$29:$AH$78,$E$33-1,1)</f>
        <v>219781.35106948004</v>
      </c>
      <c r="D32" s="38" t="s">
        <v>85</v>
      </c>
      <c r="E32" s="40">
        <v>7500</v>
      </c>
      <c r="G32">
        <v>5</v>
      </c>
      <c r="H32" s="10">
        <f t="shared" si="12"/>
        <v>0</v>
      </c>
      <c r="I32" s="10">
        <f>SUM($H$28:H32)</f>
        <v>180000</v>
      </c>
      <c r="J32" s="10">
        <f t="shared" si="13"/>
        <v>0</v>
      </c>
      <c r="K32" s="10">
        <f t="shared" si="14"/>
        <v>213735.52244804721</v>
      </c>
      <c r="L32" s="10">
        <f t="shared" si="0"/>
        <v>232757.98394592339</v>
      </c>
      <c r="M32" s="10">
        <f t="shared" si="1"/>
        <v>3233.8184546389512</v>
      </c>
      <c r="N32" s="10">
        <f t="shared" si="15"/>
        <v>229524.16549128445</v>
      </c>
      <c r="O32" s="7">
        <f t="shared" si="6"/>
        <v>1377.1449929477069</v>
      </c>
      <c r="P32" s="10">
        <f t="shared" si="7"/>
        <v>228147.02049833676</v>
      </c>
      <c r="U32">
        <v>5</v>
      </c>
      <c r="V32" s="10">
        <f t="shared" si="8"/>
        <v>0</v>
      </c>
      <c r="W32" s="10">
        <f t="shared" si="16"/>
        <v>0</v>
      </c>
      <c r="X32" s="10">
        <f t="shared" si="17"/>
        <v>218146.40985023999</v>
      </c>
      <c r="Y32" s="94">
        <f t="shared" si="18"/>
        <v>4362.9281970047996</v>
      </c>
      <c r="Z32" s="94">
        <f t="shared" si="19"/>
        <v>1177.990613191296</v>
      </c>
      <c r="AA32" s="95">
        <f t="shared" si="20"/>
        <v>0</v>
      </c>
      <c r="AB32" s="94">
        <f t="shared" si="21"/>
        <v>235510.86407431908</v>
      </c>
      <c r="AC32" s="10">
        <f t="shared" si="22"/>
        <v>17364.454224079091</v>
      </c>
      <c r="AD32" s="10">
        <f>SUM($AC$28:AC32)</f>
        <v>55510.864074319077</v>
      </c>
      <c r="AE32" s="94">
        <f t="shared" si="9"/>
        <v>235.51086407431907</v>
      </c>
      <c r="AF32" s="94">
        <f t="shared" si="2"/>
        <v>14077.009386808704</v>
      </c>
      <c r="AG32" s="95">
        <f t="shared" si="3"/>
        <v>1416.9927539560297</v>
      </c>
      <c r="AH32" s="10">
        <f t="shared" si="23"/>
        <v>219781.35106948004</v>
      </c>
      <c r="AM32" s="12"/>
      <c r="AN32">
        <v>5</v>
      </c>
      <c r="AO32" s="91">
        <v>180000</v>
      </c>
      <c r="AP32" s="10"/>
      <c r="AQ32" s="73">
        <f t="shared" si="4"/>
        <v>228147.02049833676</v>
      </c>
      <c r="AR32" s="79" cm="1">
        <f t="array" ref="AR32">IFERROR(INDEX($AQ$28:$AQ$78,_xlfn.AGGREGATE(15,3,ROW($AQ$28:$AQ$78)-ROW($AN$27)/($AQ$28:$AQ$78&lt;&gt;""),ROWS($AN$28:AN32))),"")</f>
        <v>228147.02049833676</v>
      </c>
      <c r="AS32" s="73"/>
      <c r="AT32" s="73">
        <f t="shared" si="10"/>
        <v>226879.43688952082</v>
      </c>
      <c r="AU32" s="84" cm="1">
        <f t="array" ref="AU32">IFERROR(INDEX($AT$28:$AT$78,_xlfn.AGGREGATE(15,3,ROW($AT$28:$AT$78)-ROW($AN$27)/($AT$28:$AT$78&lt;&gt;""),ROWS($AN$28:AN32))),"")</f>
        <v>226879.43688952082</v>
      </c>
      <c r="AV32" s="10"/>
      <c r="AW32" s="10">
        <f t="shared" si="5"/>
        <v>219781.35106948004</v>
      </c>
      <c r="AX32" s="89" cm="1">
        <f t="array" ref="AX32">IFERROR(INDEX($AW$28:$AW$78,_xlfn.AGGREGATE(15,3,ROW($AW$28:$AW$78)-ROW($AN$27)/($AW$28:$AW$78&lt;&gt;""),ROWS($AN$28:AN32))),"")</f>
        <v>219781.35106948004</v>
      </c>
      <c r="AY32" s="10"/>
      <c r="AZ32" s="10">
        <f t="shared" si="11"/>
        <v>219184.72264092174</v>
      </c>
      <c r="BA32" s="10" cm="1">
        <f t="array" ref="BA32">IFERROR(INDEX($AZ$28:$AZ$78,_xlfn.AGGREGATE(15,3,ROW($AZ$28:$AZ$78)-ROW($AN$27)/($AZ$28:$AZ$78&lt;&gt;""),ROWS($AN$28:AN32))),"")</f>
        <v>219184.72264092174</v>
      </c>
      <c r="BB32" s="10"/>
      <c r="BC32" s="33"/>
    </row>
    <row r="33" spans="1:59" ht="27" thickBot="1">
      <c r="A33" s="43" t="str">
        <f>$U$83</f>
        <v>Enkelt Aktier (Saxo) (Amerikanske aktier)</v>
      </c>
      <c r="B33" s="83" cm="1">
        <f t="array" ref="B33">INDEX($AH$102:$AH$151,$E$33-1,1)</f>
        <v>219184.72264092174</v>
      </c>
      <c r="D33" s="36" t="s">
        <v>86</v>
      </c>
      <c r="E33" s="45">
        <v>5</v>
      </c>
      <c r="G33">
        <v>6</v>
      </c>
      <c r="H33" s="10">
        <f t="shared" si="12"/>
        <v>0</v>
      </c>
      <c r="I33" s="10">
        <f>SUM($H$28:H33)</f>
        <v>180000</v>
      </c>
      <c r="J33" s="10">
        <f t="shared" si="13"/>
        <v>0</v>
      </c>
      <c r="K33" s="10">
        <f t="shared" si="14"/>
        <v>229524.16549128445</v>
      </c>
      <c r="L33" s="10">
        <f t="shared" si="0"/>
        <v>249951.81622000877</v>
      </c>
      <c r="M33" s="10">
        <f t="shared" si="1"/>
        <v>3472.7006238831336</v>
      </c>
      <c r="N33" s="10">
        <f t="shared" si="15"/>
        <v>246479.11559612563</v>
      </c>
      <c r="O33" s="7">
        <f t="shared" si="6"/>
        <v>1478.8746935767538</v>
      </c>
      <c r="P33" s="10">
        <f t="shared" si="7"/>
        <v>245000.24090254889</v>
      </c>
      <c r="U33">
        <v>6</v>
      </c>
      <c r="V33" s="10">
        <f t="shared" si="8"/>
        <v>0</v>
      </c>
      <c r="W33" s="10">
        <f t="shared" si="16"/>
        <v>0</v>
      </c>
      <c r="X33" s="10">
        <f t="shared" si="17"/>
        <v>235510.86407431908</v>
      </c>
      <c r="Y33" s="94">
        <f t="shared" si="18"/>
        <v>4710.2172814863816</v>
      </c>
      <c r="Z33" s="94">
        <f t="shared" si="19"/>
        <v>1271.758666001323</v>
      </c>
      <c r="AA33" s="95">
        <f t="shared" si="20"/>
        <v>0</v>
      </c>
      <c r="AB33" s="94">
        <f t="shared" si="21"/>
        <v>254257.52885463485</v>
      </c>
      <c r="AC33" s="10">
        <f t="shared" si="22"/>
        <v>18746.664780315768</v>
      </c>
      <c r="AD33" s="10">
        <f>SUM($AC$28:AC33)</f>
        <v>74257.528854634846</v>
      </c>
      <c r="AE33" s="94">
        <f t="shared" si="9"/>
        <v>254.25752885463484</v>
      </c>
      <c r="AF33" s="94">
        <f t="shared" si="2"/>
        <v>13983.241333998678</v>
      </c>
      <c r="AG33" s="95">
        <f t="shared" si="3"/>
        <v>9436.4533771709139</v>
      </c>
      <c r="AH33" s="10">
        <f t="shared" si="23"/>
        <v>230583.57661461062</v>
      </c>
      <c r="AO33" s="91"/>
      <c r="AP33" s="10"/>
      <c r="AQ33" s="73" t="str">
        <f t="shared" si="4"/>
        <v/>
      </c>
      <c r="AR33" s="79" t="str" cm="1">
        <f t="array" ref="AR33">IFERROR(INDEX($AQ$28:$AQ$78,_xlfn.AGGREGATE(15,3,ROW($AQ$28:$AQ$78)-ROW($AN$27)/($AQ$28:$AQ$78&lt;&gt;""),ROWS($AN$28:AN33))),"")</f>
        <v/>
      </c>
      <c r="AS33" s="73"/>
      <c r="AT33" s="73" t="str">
        <f t="shared" si="10"/>
        <v/>
      </c>
      <c r="AU33" s="84" t="str" cm="1">
        <f t="array" ref="AU33">IFERROR(INDEX($AT$28:$AT$78,_xlfn.AGGREGATE(15,3,ROW($AT$28:$AT$78)-ROW($AN$27)/($AT$28:$AT$78&lt;&gt;""),ROWS($AN$28:AN33))),"")</f>
        <v/>
      </c>
      <c r="AV33" s="10"/>
      <c r="AW33" s="10" t="str">
        <f t="shared" si="5"/>
        <v/>
      </c>
      <c r="AX33" s="89" t="str" cm="1">
        <f t="array" ref="AX33">IFERROR(INDEX($AW$28:$AW$78,_xlfn.AGGREGATE(15,3,ROW($AW$28:$AW$78)-ROW($AN$27)/($AW$28:$AW$78&lt;&gt;""),ROWS($AN$28:AN33))),"")</f>
        <v/>
      </c>
      <c r="AY33" s="10"/>
      <c r="AZ33" s="10" t="str">
        <f t="shared" si="11"/>
        <v/>
      </c>
      <c r="BA33" s="10" t="str" cm="1">
        <f t="array" ref="BA33">IFERROR(INDEX($AZ$28:$AZ$78,_xlfn.AGGREGATE(15,3,ROW($AZ$28:$AZ$78)-ROW($AN$27)/($AZ$28:$AZ$78&lt;&gt;""),ROWS($AN$28:AN33))),"")</f>
        <v/>
      </c>
      <c r="BB33" s="10"/>
      <c r="BC33" s="33"/>
    </row>
    <row r="34" spans="1:59">
      <c r="G34">
        <v>7</v>
      </c>
      <c r="H34" s="10">
        <f t="shared" si="12"/>
        <v>0</v>
      </c>
      <c r="I34" s="10">
        <f>SUM($H$28:H34)</f>
        <v>180000</v>
      </c>
      <c r="J34" s="10">
        <f t="shared" si="13"/>
        <v>0</v>
      </c>
      <c r="K34" s="10">
        <f t="shared" si="14"/>
        <v>246479.11559612563</v>
      </c>
      <c r="L34" s="10">
        <f t="shared" si="0"/>
        <v>268415.75688418082</v>
      </c>
      <c r="M34" s="10">
        <f t="shared" si="1"/>
        <v>3729.2290189693831</v>
      </c>
      <c r="N34" s="10">
        <f t="shared" si="15"/>
        <v>264686.52786521142</v>
      </c>
      <c r="O34" s="7">
        <f t="shared" si="6"/>
        <v>1588.1191671912686</v>
      </c>
      <c r="P34" s="10">
        <f t="shared" si="7"/>
        <v>263098.40869802015</v>
      </c>
      <c r="U34">
        <v>7</v>
      </c>
      <c r="V34" s="10">
        <f t="shared" si="8"/>
        <v>0</v>
      </c>
      <c r="W34" s="10">
        <f t="shared" si="16"/>
        <v>0</v>
      </c>
      <c r="X34" s="10">
        <f t="shared" si="17"/>
        <v>254257.52885463485</v>
      </c>
      <c r="Y34" s="94">
        <f t="shared" si="18"/>
        <v>5085.1505770926969</v>
      </c>
      <c r="Z34" s="94">
        <f t="shared" si="19"/>
        <v>1372.9906558150283</v>
      </c>
      <c r="AA34" s="95">
        <f t="shared" si="20"/>
        <v>0</v>
      </c>
      <c r="AB34" s="94">
        <f t="shared" si="21"/>
        <v>274496.42815146374</v>
      </c>
      <c r="AC34" s="10">
        <f t="shared" si="22"/>
        <v>20238.899296828895</v>
      </c>
      <c r="AD34" s="10">
        <f>SUM($AC$28:AC34)</f>
        <v>94496.428151463741</v>
      </c>
      <c r="AE34" s="94">
        <f t="shared" si="9"/>
        <v>274.49642815146376</v>
      </c>
      <c r="AF34" s="94">
        <f t="shared" si="2"/>
        <v>13882.009344184973</v>
      </c>
      <c r="AG34" s="95">
        <f>IF(Y34+AD34&gt;=$V$25,(AD34-MAX($V$25-Y34, 0))*$V$24,0)</f>
        <v>18094.263065993702</v>
      </c>
      <c r="AH34" s="10">
        <f t="shared" si="23"/>
        <v>242245.65931313363</v>
      </c>
      <c r="AO34" s="91"/>
      <c r="AP34" s="10"/>
      <c r="AQ34" s="73" t="str">
        <f t="shared" si="4"/>
        <v/>
      </c>
      <c r="AR34" s="79" t="str" cm="1">
        <f t="array" ref="AR34">IFERROR(INDEX($AQ$28:$AQ$78,_xlfn.AGGREGATE(15,3,ROW($AQ$28:$AQ$78)-ROW($AN$27)/($AQ$28:$AQ$78&lt;&gt;""),ROWS($AN$28:AN34))),"")</f>
        <v/>
      </c>
      <c r="AS34" s="73"/>
      <c r="AT34" s="73" t="str">
        <f t="shared" si="10"/>
        <v/>
      </c>
      <c r="AU34" s="84" t="str" cm="1">
        <f t="array" ref="AU34">IFERROR(INDEX($AT$28:$AT$78,_xlfn.AGGREGATE(15,3,ROW($AT$28:$AT$78)-ROW($AN$27)/($AT$28:$AT$78&lt;&gt;""),ROWS($AN$28:AN34))),"")</f>
        <v/>
      </c>
      <c r="AV34" s="10"/>
      <c r="AW34" s="10" t="str">
        <f t="shared" si="5"/>
        <v/>
      </c>
      <c r="AX34" s="89" t="str" cm="1">
        <f t="array" ref="AX34">IFERROR(INDEX($AW$28:$AW$78,_xlfn.AGGREGATE(15,3,ROW($AW$28:$AW$78)-ROW($AN$27)/($AW$28:$AW$78&lt;&gt;""),ROWS($AN$28:AN34))),"")</f>
        <v/>
      </c>
      <c r="AY34" s="10"/>
      <c r="AZ34" s="10" t="str">
        <f t="shared" si="11"/>
        <v/>
      </c>
      <c r="BA34" s="10" t="str" cm="1">
        <f t="array" ref="BA34">IFERROR(INDEX($AZ$28:$AZ$78,_xlfn.AGGREGATE(15,3,ROW($AZ$28:$AZ$78)-ROW($AN$27)/($AZ$28:$AZ$78&lt;&gt;""),ROWS($AN$28:AN34))),"")</f>
        <v/>
      </c>
      <c r="BB34" s="10"/>
      <c r="BC34" s="33"/>
    </row>
    <row r="35" spans="1:59">
      <c r="G35">
        <v>8</v>
      </c>
      <c r="H35" s="10">
        <f t="shared" si="12"/>
        <v>0</v>
      </c>
      <c r="I35" s="10">
        <f>SUM($H$28:H35)</f>
        <v>180000</v>
      </c>
      <c r="J35" s="10">
        <f t="shared" si="13"/>
        <v>0</v>
      </c>
      <c r="K35" s="10">
        <f t="shared" si="14"/>
        <v>264686.52786521142</v>
      </c>
      <c r="L35" s="10">
        <f t="shared" si="0"/>
        <v>288243.62884521525</v>
      </c>
      <c r="M35" s="10">
        <f t="shared" si="1"/>
        <v>4004.7071666006514</v>
      </c>
      <c r="N35" s="10">
        <f t="shared" si="15"/>
        <v>284238.92167861463</v>
      </c>
      <c r="O35" s="7">
        <f t="shared" si="6"/>
        <v>1705.4335300716878</v>
      </c>
      <c r="P35" s="10">
        <f t="shared" si="7"/>
        <v>282533.48814854294</v>
      </c>
      <c r="U35">
        <v>8</v>
      </c>
      <c r="V35" s="10">
        <f t="shared" si="8"/>
        <v>0</v>
      </c>
      <c r="W35" s="10">
        <f t="shared" si="16"/>
        <v>0</v>
      </c>
      <c r="X35" s="10">
        <f t="shared" si="17"/>
        <v>274496.42815146374</v>
      </c>
      <c r="Y35" s="94">
        <f t="shared" si="18"/>
        <v>5489.9285630292752</v>
      </c>
      <c r="Z35" s="94">
        <f t="shared" si="19"/>
        <v>1482.2807120179043</v>
      </c>
      <c r="AA35" s="95">
        <f t="shared" si="20"/>
        <v>0</v>
      </c>
      <c r="AB35" s="94">
        <f t="shared" si="21"/>
        <v>296346.34383232024</v>
      </c>
      <c r="AC35" s="10">
        <f t="shared" si="22"/>
        <v>21849.915680856502</v>
      </c>
      <c r="AD35" s="10">
        <f>SUM($AC$28:AC35)</f>
        <v>116346.34383232024</v>
      </c>
      <c r="AE35" s="94">
        <f t="shared" si="9"/>
        <v>296.34634383232026</v>
      </c>
      <c r="AF35" s="94">
        <f>IF(Y35+AD35&gt;=$V$25,MAX($V$25-Y35,0)*$V$23,AD35*$V$23)</f>
        <v>13772.719287982098</v>
      </c>
      <c r="AG35" s="95">
        <f t="shared" ref="AG35:AG78" si="24">IF(Y35+AD35&gt;=$V$25,(AD35-MAX($V$25-Y35, 0))*$V$24,0)</f>
        <v>27441.234406046795</v>
      </c>
      <c r="AH35" s="10">
        <f t="shared" si="23"/>
        <v>254836.04379445902</v>
      </c>
      <c r="AO35" s="91"/>
      <c r="AP35" s="10"/>
      <c r="AQ35" s="73" t="str">
        <f t="shared" si="4"/>
        <v/>
      </c>
      <c r="AR35" s="79" t="str" cm="1">
        <f t="array" ref="AR35">IFERROR(INDEX($AQ$28:$AQ$78,_xlfn.AGGREGATE(15,3,ROW($AQ$28:$AQ$78)-ROW($AN$27)/($AQ$28:$AQ$78&lt;&gt;""),ROWS($AN$28:AN35))),"")</f>
        <v/>
      </c>
      <c r="AS35" s="73"/>
      <c r="AT35" s="73" t="str">
        <f t="shared" si="10"/>
        <v/>
      </c>
      <c r="AU35" s="84" t="str" cm="1">
        <f t="array" ref="AU35">IFERROR(INDEX($AT$28:$AT$78,_xlfn.AGGREGATE(15,3,ROW($AT$28:$AT$78)-ROW($AN$27)/($AT$28:$AT$78&lt;&gt;""),ROWS($AN$28:AN35))),"")</f>
        <v/>
      </c>
      <c r="AV35" s="10"/>
      <c r="AW35" s="10" t="str">
        <f t="shared" si="5"/>
        <v/>
      </c>
      <c r="AX35" s="89" t="str" cm="1">
        <f t="array" ref="AX35">IFERROR(INDEX($AW$28:$AW$78,_xlfn.AGGREGATE(15,3,ROW($AW$28:$AW$78)-ROW($AN$27)/($AW$28:$AW$78&lt;&gt;""),ROWS($AN$28:AN35))),"")</f>
        <v/>
      </c>
      <c r="AY35" s="10"/>
      <c r="AZ35" s="10" t="str">
        <f t="shared" si="11"/>
        <v/>
      </c>
      <c r="BA35" s="10" t="str" cm="1">
        <f t="array" ref="BA35">IFERROR(INDEX($AZ$28:$AZ$78,_xlfn.AGGREGATE(15,3,ROW($AZ$28:$AZ$78)-ROW($AN$27)/($AZ$28:$AZ$78&lt;&gt;""),ROWS($AN$28:AN35))),"")</f>
        <v/>
      </c>
      <c r="BB35" s="10"/>
      <c r="BC35" s="33"/>
    </row>
    <row r="36" spans="1:59">
      <c r="G36">
        <v>9</v>
      </c>
      <c r="H36" s="10">
        <f t="shared" si="12"/>
        <v>0</v>
      </c>
      <c r="I36" s="10">
        <f>SUM($H$28:H36)</f>
        <v>180000</v>
      </c>
      <c r="J36" s="10">
        <f t="shared" si="13"/>
        <v>0</v>
      </c>
      <c r="K36" s="10">
        <f t="shared" si="14"/>
        <v>284238.92167861463</v>
      </c>
      <c r="L36" s="10">
        <f t="shared" si="0"/>
        <v>309536.18570801133</v>
      </c>
      <c r="M36" s="10">
        <f t="shared" si="1"/>
        <v>4300.5348849974389</v>
      </c>
      <c r="N36" s="10">
        <f t="shared" si="15"/>
        <v>305235.65082301392</v>
      </c>
      <c r="O36" s="7">
        <f t="shared" si="6"/>
        <v>1831.4139049380835</v>
      </c>
      <c r="P36" s="10">
        <f t="shared" si="7"/>
        <v>303404.23691807583</v>
      </c>
      <c r="U36">
        <v>9</v>
      </c>
      <c r="V36" s="10">
        <f t="shared" si="8"/>
        <v>0</v>
      </c>
      <c r="W36" s="10">
        <f t="shared" si="16"/>
        <v>0</v>
      </c>
      <c r="X36" s="10">
        <f t="shared" si="17"/>
        <v>296346.34383232024</v>
      </c>
      <c r="Y36" s="94">
        <f t="shared" si="18"/>
        <v>5926.9268766464047</v>
      </c>
      <c r="Z36" s="94">
        <f t="shared" si="19"/>
        <v>1600.2702566945293</v>
      </c>
      <c r="AA36" s="95">
        <f t="shared" si="20"/>
        <v>0</v>
      </c>
      <c r="AB36" s="94">
        <f t="shared" si="21"/>
        <v>319935.51280137291</v>
      </c>
      <c r="AC36" s="10">
        <f t="shared" si="22"/>
        <v>23589.168969052669</v>
      </c>
      <c r="AD36" s="10">
        <f>SUM($AC$28:AC36)</f>
        <v>139935.51280137291</v>
      </c>
      <c r="AE36" s="94">
        <f t="shared" si="9"/>
        <v>319.93551280137291</v>
      </c>
      <c r="AF36" s="94">
        <f t="shared" si="2"/>
        <v>13654.72974330547</v>
      </c>
      <c r="AG36" s="95">
        <f t="shared" si="24"/>
        <v>37532.22466476811</v>
      </c>
      <c r="AH36" s="10">
        <f t="shared" si="23"/>
        <v>268428.62288049795</v>
      </c>
      <c r="AO36" s="91"/>
      <c r="AP36" s="10"/>
      <c r="AQ36" s="73" t="str">
        <f t="shared" si="4"/>
        <v/>
      </c>
      <c r="AR36" s="79" t="str" cm="1">
        <f t="array" ref="AR36">IFERROR(INDEX($AQ$28:$AQ$78,_xlfn.AGGREGATE(15,3,ROW($AQ$28:$AQ$78)-ROW($AN$27)/($AQ$28:$AQ$78&lt;&gt;""),ROWS($AN$28:AN36))),"")</f>
        <v/>
      </c>
      <c r="AS36" s="73"/>
      <c r="AT36" s="73" t="str">
        <f t="shared" si="10"/>
        <v/>
      </c>
      <c r="AU36" s="84" t="str" cm="1">
        <f t="array" ref="AU36">IFERROR(INDEX($AT$28:$AT$78,_xlfn.AGGREGATE(15,3,ROW($AT$28:$AT$78)-ROW($AN$27)/($AT$28:$AT$78&lt;&gt;""),ROWS($AN$28:AN36))),"")</f>
        <v/>
      </c>
      <c r="AV36" s="10"/>
      <c r="AW36" s="10" t="str">
        <f t="shared" si="5"/>
        <v/>
      </c>
      <c r="AX36" s="89" t="str" cm="1">
        <f t="array" ref="AX36">IFERROR(INDEX($AW$28:$AW$78,_xlfn.AGGREGATE(15,3,ROW($AW$28:$AW$78)-ROW($AN$27)/($AW$28:$AW$78&lt;&gt;""),ROWS($AN$28:AN36))),"")</f>
        <v/>
      </c>
      <c r="AY36" s="10"/>
      <c r="AZ36" s="10" t="str">
        <f t="shared" si="11"/>
        <v/>
      </c>
      <c r="BA36" s="10" t="str" cm="1">
        <f t="array" ref="BA36">IFERROR(INDEX($AZ$28:$AZ$78,_xlfn.AGGREGATE(15,3,ROW($AZ$28:$AZ$78)-ROW($AN$27)/($AZ$28:$AZ$78&lt;&gt;""),ROWS($AN$28:AN36))),"")</f>
        <v/>
      </c>
      <c r="BB36" s="10"/>
      <c r="BC36" s="33"/>
    </row>
    <row r="37" spans="1:59">
      <c r="G37">
        <v>10</v>
      </c>
      <c r="H37" s="10">
        <f t="shared" si="12"/>
        <v>0</v>
      </c>
      <c r="I37" s="10">
        <f>SUM($H$28:H37)</f>
        <v>180000</v>
      </c>
      <c r="J37" s="10">
        <f t="shared" si="13"/>
        <v>0</v>
      </c>
      <c r="K37" s="10">
        <f t="shared" si="14"/>
        <v>305235.65082301392</v>
      </c>
      <c r="L37" s="10">
        <f t="shared" si="0"/>
        <v>332401.62374626216</v>
      </c>
      <c r="M37" s="10">
        <f t="shared" si="1"/>
        <v>4618.2153969522024</v>
      </c>
      <c r="N37" s="10">
        <f t="shared" si="15"/>
        <v>327783.40834930999</v>
      </c>
      <c r="O37" s="7">
        <f t="shared" si="6"/>
        <v>1966.7004500958601</v>
      </c>
      <c r="P37" s="10">
        <f t="shared" si="7"/>
        <v>325816.70789921412</v>
      </c>
      <c r="U37">
        <v>10</v>
      </c>
      <c r="V37" s="10">
        <f t="shared" si="8"/>
        <v>0</v>
      </c>
      <c r="W37" s="10">
        <f t="shared" si="16"/>
        <v>0</v>
      </c>
      <c r="X37" s="10">
        <f t="shared" si="17"/>
        <v>319935.51280137291</v>
      </c>
      <c r="Y37" s="94">
        <f t="shared" si="18"/>
        <v>6398.7102560274579</v>
      </c>
      <c r="Z37" s="94">
        <f t="shared" si="19"/>
        <v>1727.6517691274137</v>
      </c>
      <c r="AA37" s="95">
        <f t="shared" si="20"/>
        <v>0</v>
      </c>
      <c r="AB37" s="94">
        <f t="shared" si="21"/>
        <v>345402.37962036219</v>
      </c>
      <c r="AC37" s="10">
        <f t="shared" si="22"/>
        <v>25466.866818989278</v>
      </c>
      <c r="AD37" s="10">
        <f>SUM($AC$28:AC37)</f>
        <v>165402.37962036219</v>
      </c>
      <c r="AE37" s="94">
        <f t="shared" si="9"/>
        <v>345.40237962036218</v>
      </c>
      <c r="AF37" s="94">
        <f t="shared" si="2"/>
        <v>13527.348230872587</v>
      </c>
      <c r="AG37" s="95">
        <f t="shared" si="24"/>
        <v>48426.457748083652</v>
      </c>
      <c r="AH37" s="10">
        <f t="shared" si="23"/>
        <v>283103.17126178561</v>
      </c>
      <c r="AO37" s="91"/>
      <c r="AP37" s="10"/>
      <c r="AQ37" s="73" t="str">
        <f t="shared" si="4"/>
        <v/>
      </c>
      <c r="AR37" s="79" t="str" cm="1">
        <f t="array" ref="AR37">IFERROR(INDEX($AQ$28:$AQ$78,_xlfn.AGGREGATE(15,3,ROW($AQ$28:$AQ$78)-ROW($AN$27)/($AQ$28:$AQ$78&lt;&gt;""),ROWS($AN$28:AN37))),"")</f>
        <v/>
      </c>
      <c r="AS37" s="73"/>
      <c r="AT37" s="73" t="str">
        <f t="shared" si="10"/>
        <v/>
      </c>
      <c r="AU37" s="84" t="str" cm="1">
        <f t="array" ref="AU37">IFERROR(INDEX($AT$28:$AT$78,_xlfn.AGGREGATE(15,3,ROW($AT$28:$AT$78)-ROW($AN$27)/($AT$28:$AT$78&lt;&gt;""),ROWS($AN$28:AN37))),"")</f>
        <v/>
      </c>
      <c r="AV37" s="10"/>
      <c r="AW37" s="10" t="str">
        <f t="shared" si="5"/>
        <v/>
      </c>
      <c r="AX37" s="89" t="str" cm="1">
        <f t="array" ref="AX37">IFERROR(INDEX($AW$28:$AW$78,_xlfn.AGGREGATE(15,3,ROW($AW$28:$AW$78)-ROW($AN$27)/($AW$28:$AW$78&lt;&gt;""),ROWS($AN$28:AN37))),"")</f>
        <v/>
      </c>
      <c r="AY37" s="10"/>
      <c r="AZ37" s="10" t="str">
        <f t="shared" si="11"/>
        <v/>
      </c>
      <c r="BA37" s="10" t="str" cm="1">
        <f t="array" ref="BA37">IFERROR(INDEX($AZ$28:$AZ$78,_xlfn.AGGREGATE(15,3,ROW($AZ$28:$AZ$78)-ROW($AN$27)/($AZ$28:$AZ$78&lt;&gt;""),ROWS($AN$28:AN37))),"")</f>
        <v/>
      </c>
      <c r="BB37" s="10"/>
      <c r="BC37" s="33"/>
      <c r="BE37" s="7"/>
    </row>
    <row r="38" spans="1:59">
      <c r="G38">
        <v>11</v>
      </c>
      <c r="H38" s="10">
        <f t="shared" si="12"/>
        <v>0</v>
      </c>
      <c r="I38" s="10">
        <f>SUM($H$28:H38)</f>
        <v>180000</v>
      </c>
      <c r="J38" s="10">
        <f t="shared" si="13"/>
        <v>0</v>
      </c>
      <c r="K38" s="10">
        <f t="shared" si="14"/>
        <v>327783.40834930999</v>
      </c>
      <c r="L38" s="10">
        <f t="shared" si="0"/>
        <v>356956.13169239857</v>
      </c>
      <c r="M38" s="10">
        <f t="shared" si="1"/>
        <v>4959.3629683250592</v>
      </c>
      <c r="N38" s="10">
        <f t="shared" si="15"/>
        <v>351996.76872407354</v>
      </c>
      <c r="O38" s="7">
        <f t="shared" si="6"/>
        <v>2111.9806123444414</v>
      </c>
      <c r="P38" s="10">
        <f t="shared" si="7"/>
        <v>349884.78811172908</v>
      </c>
      <c r="U38">
        <v>11</v>
      </c>
      <c r="V38" s="10">
        <f t="shared" si="8"/>
        <v>0</v>
      </c>
      <c r="W38" s="10">
        <f t="shared" si="16"/>
        <v>0</v>
      </c>
      <c r="X38" s="10">
        <f t="shared" si="17"/>
        <v>345402.37962036219</v>
      </c>
      <c r="Y38" s="94">
        <f t="shared" si="18"/>
        <v>6908.0475924072443</v>
      </c>
      <c r="Z38" s="94">
        <f t="shared" si="19"/>
        <v>1865.1728499499561</v>
      </c>
      <c r="AA38" s="95">
        <f t="shared" si="20"/>
        <v>0</v>
      </c>
      <c r="AB38" s="94">
        <f t="shared" si="21"/>
        <v>372896.409038143</v>
      </c>
      <c r="AC38" s="10">
        <f t="shared" si="22"/>
        <v>27494.02941778081</v>
      </c>
      <c r="AD38" s="10">
        <f>SUM($AC$28:AC38)</f>
        <v>192896.409038143</v>
      </c>
      <c r="AE38" s="94">
        <f t="shared" si="9"/>
        <v>372.89640903814302</v>
      </c>
      <c r="AF38" s="94">
        <f t="shared" si="2"/>
        <v>13389.827150050045</v>
      </c>
      <c r="AG38" s="95">
        <f t="shared" si="24"/>
        <v>60187.871784831099</v>
      </c>
      <c r="AH38" s="10">
        <f t="shared" si="23"/>
        <v>298945.8136942237</v>
      </c>
      <c r="AO38" s="91"/>
      <c r="AP38" s="10"/>
      <c r="AQ38" s="73" t="str">
        <f t="shared" si="4"/>
        <v/>
      </c>
      <c r="AR38" s="79" t="str" cm="1">
        <f t="array" ref="AR38">IFERROR(INDEX($AQ$28:$AQ$78,_xlfn.AGGREGATE(15,3,ROW($AQ$28:$AQ$78)-ROW($AN$27)/($AQ$28:$AQ$78&lt;&gt;""),ROWS($AN$28:AN38))),"")</f>
        <v/>
      </c>
      <c r="AS38" s="73"/>
      <c r="AT38" s="73" t="str">
        <f t="shared" si="10"/>
        <v/>
      </c>
      <c r="AU38" s="84" t="str" cm="1">
        <f t="array" ref="AU38">IFERROR(INDEX($AT$28:$AT$78,_xlfn.AGGREGATE(15,3,ROW($AT$28:$AT$78)-ROW($AN$27)/($AT$28:$AT$78&lt;&gt;""),ROWS($AN$28:AN38))),"")</f>
        <v/>
      </c>
      <c r="AV38" s="10"/>
      <c r="AW38" s="10" t="str">
        <f t="shared" si="5"/>
        <v/>
      </c>
      <c r="AX38" s="89" t="str" cm="1">
        <f t="array" ref="AX38">IFERROR(INDEX($AW$28:$AW$78,_xlfn.AGGREGATE(15,3,ROW($AW$28:$AW$78)-ROW($AN$27)/($AW$28:$AW$78&lt;&gt;""),ROWS($AN$28:AN38))),"")</f>
        <v/>
      </c>
      <c r="AY38" s="10"/>
      <c r="AZ38" s="10" t="str">
        <f t="shared" si="11"/>
        <v/>
      </c>
      <c r="BA38" s="10" t="str" cm="1">
        <f t="array" ref="BA38">IFERROR(INDEX($AZ$28:$AZ$78,_xlfn.AGGREGATE(15,3,ROW($AZ$28:$AZ$78)-ROW($AN$27)/($AW$28:$AW$78&lt;&gt;""),ROWS($AN$28:AN38))),"")</f>
        <v/>
      </c>
      <c r="BB38" s="10"/>
      <c r="BC38" s="33"/>
    </row>
    <row r="39" spans="1:59">
      <c r="G39">
        <v>12</v>
      </c>
      <c r="H39" s="10">
        <f t="shared" si="12"/>
        <v>0</v>
      </c>
      <c r="I39" s="10">
        <f>SUM($H$28:H39)</f>
        <v>180000</v>
      </c>
      <c r="J39" s="10">
        <f t="shared" si="13"/>
        <v>0</v>
      </c>
      <c r="K39" s="10">
        <f t="shared" si="14"/>
        <v>351996.76872407354</v>
      </c>
      <c r="L39" s="10">
        <f t="shared" si="0"/>
        <v>383324.48114051606</v>
      </c>
      <c r="M39" s="10">
        <f t="shared" si="1"/>
        <v>5325.7111107952287</v>
      </c>
      <c r="N39" s="10">
        <f t="shared" si="15"/>
        <v>377998.77002972085</v>
      </c>
      <c r="O39" s="7">
        <f t="shared" si="6"/>
        <v>2267.9926201783251</v>
      </c>
      <c r="P39" s="10">
        <f t="shared" si="7"/>
        <v>375730.77740954253</v>
      </c>
      <c r="U39">
        <v>12</v>
      </c>
      <c r="V39" s="10">
        <f t="shared" si="8"/>
        <v>0</v>
      </c>
      <c r="W39" s="10">
        <f t="shared" si="16"/>
        <v>0</v>
      </c>
      <c r="X39" s="10">
        <f t="shared" si="17"/>
        <v>372896.409038143</v>
      </c>
      <c r="Y39" s="94">
        <f t="shared" si="18"/>
        <v>7457.9281807628604</v>
      </c>
      <c r="Z39" s="94">
        <f t="shared" si="19"/>
        <v>2013.6406088059725</v>
      </c>
      <c r="AA39" s="95">
        <f t="shared" si="20"/>
        <v>0</v>
      </c>
      <c r="AB39" s="94">
        <f t="shared" si="21"/>
        <v>402578.96319757914</v>
      </c>
      <c r="AC39" s="10">
        <f t="shared" si="22"/>
        <v>29682.554159436142</v>
      </c>
      <c r="AD39" s="10">
        <f>SUM($AC$28:AC39)</f>
        <v>222578.96319757914</v>
      </c>
      <c r="AE39" s="94">
        <f t="shared" si="9"/>
        <v>402.57896319757913</v>
      </c>
      <c r="AF39" s="94">
        <f t="shared" si="2"/>
        <v>13241.35939119403</v>
      </c>
      <c r="AG39" s="95">
        <f t="shared" si="24"/>
        <v>72885.494378903633</v>
      </c>
      <c r="AH39" s="10">
        <f t="shared" si="23"/>
        <v>316049.53046428389</v>
      </c>
      <c r="AO39" s="91"/>
      <c r="AP39" s="10"/>
      <c r="AQ39" s="73" t="str">
        <f t="shared" si="4"/>
        <v/>
      </c>
      <c r="AR39" s="79" t="str" cm="1">
        <f t="array" ref="AR39">IFERROR(INDEX($AQ$28:$AQ$78,_xlfn.AGGREGATE(15,3,ROW($AQ$28:$AQ$78)-ROW($AN$27)/($AQ$28:$AQ$78&lt;&gt;""),ROWS($AN$28:AN39))),"")</f>
        <v/>
      </c>
      <c r="AS39" s="73"/>
      <c r="AT39" s="73" t="str">
        <f t="shared" si="10"/>
        <v/>
      </c>
      <c r="AU39" s="84" t="str" cm="1">
        <f t="array" ref="AU39">IFERROR(INDEX($AT$28:$AT$78,_xlfn.AGGREGATE(15,3,ROW($AT$28:$AT$78)-ROW($AN$27)/($AT$28:$AT$78&lt;&gt;""),ROWS($AN$28:AN39))),"")</f>
        <v/>
      </c>
      <c r="AV39" s="10"/>
      <c r="AW39" s="10" t="str">
        <f t="shared" si="5"/>
        <v/>
      </c>
      <c r="AX39" s="89" t="str" cm="1">
        <f t="array" ref="AX39">IFERROR(INDEX($AW$28:$AW$78,_xlfn.AGGREGATE(15,3,ROW($AW$28:$AW$78)-ROW($AN$27)/($AW$28:$AW$78&lt;&gt;""),ROWS($AN$28:AN39))),"")</f>
        <v/>
      </c>
      <c r="AY39" s="10"/>
      <c r="AZ39" s="10" t="str">
        <f t="shared" si="11"/>
        <v/>
      </c>
      <c r="BA39" s="10" t="str" cm="1">
        <f t="array" ref="BA39">IFERROR(INDEX($AZ$28:$AZ$78,_xlfn.AGGREGATE(15,3,ROW($AZ$28:$AZ$78)-ROW($AN$27)/($AW$28:$AW$78&lt;&gt;""),ROWS($AN$28:AN39))),"")</f>
        <v/>
      </c>
      <c r="BB39" s="10"/>
      <c r="BC39" s="33"/>
    </row>
    <row r="40" spans="1:59">
      <c r="G40">
        <v>13</v>
      </c>
      <c r="H40" s="10">
        <f t="shared" si="12"/>
        <v>0</v>
      </c>
      <c r="I40" s="10">
        <f>SUM($H$28:H40)</f>
        <v>180000</v>
      </c>
      <c r="J40" s="10">
        <f t="shared" si="13"/>
        <v>0</v>
      </c>
      <c r="K40" s="10">
        <f t="shared" si="14"/>
        <v>377998.77002972085</v>
      </c>
      <c r="L40" s="10">
        <f t="shared" si="0"/>
        <v>411640.66056236601</v>
      </c>
      <c r="M40" s="10">
        <f t="shared" si="1"/>
        <v>5719.1213905496779</v>
      </c>
      <c r="N40" s="10">
        <f t="shared" si="15"/>
        <v>405921.53917181632</v>
      </c>
      <c r="O40" s="7">
        <f t="shared" si="6"/>
        <v>2435.5292350308978</v>
      </c>
      <c r="P40" s="10">
        <f t="shared" si="7"/>
        <v>403486.00993678544</v>
      </c>
      <c r="U40">
        <v>13</v>
      </c>
      <c r="V40" s="10">
        <f t="shared" si="8"/>
        <v>0</v>
      </c>
      <c r="W40" s="10">
        <f t="shared" si="16"/>
        <v>0</v>
      </c>
      <c r="X40" s="10">
        <f t="shared" si="17"/>
        <v>402578.96319757914</v>
      </c>
      <c r="Y40" s="94">
        <f t="shared" si="18"/>
        <v>8051.579263951583</v>
      </c>
      <c r="Z40" s="94">
        <f t="shared" si="19"/>
        <v>2173.9264012669278</v>
      </c>
      <c r="AA40" s="95">
        <f t="shared" si="20"/>
        <v>0</v>
      </c>
      <c r="AB40" s="94">
        <f t="shared" si="21"/>
        <v>434624.24866810639</v>
      </c>
      <c r="AC40" s="10">
        <f t="shared" si="22"/>
        <v>32045.285470527248</v>
      </c>
      <c r="AD40" s="10">
        <f>SUM($AC$28:AC40)</f>
        <v>254624.24866810639</v>
      </c>
      <c r="AE40" s="94">
        <f t="shared" si="9"/>
        <v>434.62424866810642</v>
      </c>
      <c r="AF40" s="94">
        <f t="shared" si="2"/>
        <v>13081.073598733074</v>
      </c>
      <c r="AG40" s="95">
        <f t="shared" si="24"/>
        <v>86593.847731464339</v>
      </c>
      <c r="AH40" s="10">
        <f t="shared" si="23"/>
        <v>334514.70308924094</v>
      </c>
      <c r="AO40" s="91"/>
      <c r="AP40" s="10"/>
      <c r="AQ40" s="73" t="str">
        <f t="shared" si="4"/>
        <v/>
      </c>
      <c r="AR40" s="79" t="str" cm="1">
        <f t="array" ref="AR40">IFERROR(INDEX($AQ$28:$AQ$78,_xlfn.AGGREGATE(15,3,ROW($AQ$28:$AQ$78)-ROW($AN$27)/($AQ$28:$AQ$78&lt;&gt;""),ROWS($AN$28:AN40))),"")</f>
        <v/>
      </c>
      <c r="AS40" s="73"/>
      <c r="AT40" s="73" t="str">
        <f t="shared" si="10"/>
        <v/>
      </c>
      <c r="AU40" s="84" t="str" cm="1">
        <f t="array" ref="AU40">IFERROR(INDEX($AT$28:$AT$78,_xlfn.AGGREGATE(15,3,ROW($AT$28:$AT$78)-ROW($AN$27)/($AT$28:$AT$78&lt;&gt;""),ROWS($AN$28:AN40))),"")</f>
        <v/>
      </c>
      <c r="AV40" s="10"/>
      <c r="AW40" s="10" t="str">
        <f t="shared" si="5"/>
        <v/>
      </c>
      <c r="AX40" s="89" t="str" cm="1">
        <f t="array" ref="AX40">IFERROR(INDEX($AW$28:$AW$78,_xlfn.AGGREGATE(15,3,ROW($AW$28:$AW$78)-ROW($AN$27)/($AW$28:$AW$78&lt;&gt;""),ROWS($AN$28:AN40))),"")</f>
        <v/>
      </c>
      <c r="AY40" s="10"/>
      <c r="AZ40" s="10" t="str">
        <f t="shared" si="11"/>
        <v/>
      </c>
      <c r="BA40" s="10" t="str" cm="1">
        <f t="array" ref="BA40">IFERROR(INDEX($AZ$28:$AZ$78,_xlfn.AGGREGATE(15,3,ROW($AZ$28:$AZ$78)-ROW($AN$27)/($AW$28:$AW$78&lt;&gt;""),ROWS($AN$28:AN40))),"")</f>
        <v/>
      </c>
      <c r="BB40" s="10"/>
      <c r="BC40" s="33"/>
    </row>
    <row r="41" spans="1:59">
      <c r="G41">
        <v>14</v>
      </c>
      <c r="H41" s="10">
        <f t="shared" si="12"/>
        <v>0</v>
      </c>
      <c r="I41" s="10">
        <f>SUM($H$28:H41)</f>
        <v>180000</v>
      </c>
      <c r="J41" s="10">
        <f t="shared" si="13"/>
        <v>0</v>
      </c>
      <c r="K41" s="10">
        <f t="shared" si="14"/>
        <v>405921.53917181632</v>
      </c>
      <c r="L41" s="10">
        <f t="shared" si="0"/>
        <v>442048.55615810794</v>
      </c>
      <c r="M41" s="10">
        <f t="shared" si="1"/>
        <v>6141.5928876695762</v>
      </c>
      <c r="N41" s="10">
        <f t="shared" si="15"/>
        <v>435906.96327043837</v>
      </c>
      <c r="O41" s="7">
        <f t="shared" si="6"/>
        <v>2615.4417796226298</v>
      </c>
      <c r="P41" s="10">
        <f t="shared" si="7"/>
        <v>433291.52149081574</v>
      </c>
      <c r="U41">
        <v>14</v>
      </c>
      <c r="V41" s="10">
        <f t="shared" si="8"/>
        <v>0</v>
      </c>
      <c r="W41" s="10">
        <f t="shared" si="16"/>
        <v>0</v>
      </c>
      <c r="X41" s="10">
        <f t="shared" si="17"/>
        <v>434624.24866810639</v>
      </c>
      <c r="Y41" s="94">
        <f t="shared" si="18"/>
        <v>8692.4849733621286</v>
      </c>
      <c r="Z41" s="94">
        <f t="shared" si="19"/>
        <v>2346.9709428077749</v>
      </c>
      <c r="AA41" s="95">
        <f t="shared" si="20"/>
        <v>0</v>
      </c>
      <c r="AB41" s="94">
        <f t="shared" si="21"/>
        <v>469220.33886208764</v>
      </c>
      <c r="AC41" s="10">
        <f t="shared" si="22"/>
        <v>34596.090193981247</v>
      </c>
      <c r="AD41" s="10">
        <f>SUM($AC$28:AC41)</f>
        <v>289220.33886208764</v>
      </c>
      <c r="AE41" s="94">
        <f t="shared" si="9"/>
        <v>469.22033886208766</v>
      </c>
      <c r="AF41" s="94">
        <f t="shared" si="2"/>
        <v>12908.029057192225</v>
      </c>
      <c r="AG41" s="95">
        <f t="shared" si="24"/>
        <v>101393.38601088889</v>
      </c>
      <c r="AH41" s="10">
        <f t="shared" si="23"/>
        <v>354449.70345514442</v>
      </c>
      <c r="AO41" s="91"/>
      <c r="AP41" s="10"/>
      <c r="AQ41" s="73" t="str">
        <f t="shared" si="4"/>
        <v/>
      </c>
      <c r="AR41" s="79" t="str" cm="1">
        <f t="array" ref="AR41">IFERROR(INDEX($AQ$28:$AQ$78,_xlfn.AGGREGATE(15,3,ROW($AQ$28:$AQ$78)-ROW($AN$27)/($AQ$28:$AQ$78&lt;&gt;""),ROWS($AN$28:AN41))),"")</f>
        <v/>
      </c>
      <c r="AS41" s="73"/>
      <c r="AT41" s="73" t="str">
        <f t="shared" si="10"/>
        <v/>
      </c>
      <c r="AU41" s="84" t="str" cm="1">
        <f t="array" ref="AU41">IFERROR(INDEX($AT$28:$AT$78,_xlfn.AGGREGATE(15,3,ROW($AT$28:$AT$78)-ROW($AN$27)/($AT$28:$AT$78&lt;&gt;""),ROWS($AN$28:AN41))),"")</f>
        <v/>
      </c>
      <c r="AV41" s="10"/>
      <c r="AW41" s="10" t="str">
        <f t="shared" si="5"/>
        <v/>
      </c>
      <c r="AX41" s="89" t="str" cm="1">
        <f t="array" ref="AX41">IFERROR(INDEX($AW$28:$AW$78,_xlfn.AGGREGATE(15,3,ROW($AW$28:$AW$78)-ROW($AN$27)/($AW$28:$AW$78&lt;&gt;""),ROWS($AN$28:AN41))),"")</f>
        <v/>
      </c>
      <c r="AY41" s="10"/>
      <c r="AZ41" s="10" t="str">
        <f t="shared" si="11"/>
        <v/>
      </c>
      <c r="BA41" s="10" t="str" cm="1">
        <f t="array" ref="BA41">IFERROR(INDEX($AZ$28:$AZ$78,_xlfn.AGGREGATE(15,3,ROW($AZ$28:$AZ$78)-ROW($AN$27)/($AW$28:$AW$78&lt;&gt;""),ROWS($AN$28:AN41))),"")</f>
        <v/>
      </c>
      <c r="BB41" s="10"/>
      <c r="BC41" s="33"/>
    </row>
    <row r="42" spans="1:59">
      <c r="G42">
        <v>15</v>
      </c>
      <c r="H42" s="10">
        <f t="shared" si="12"/>
        <v>0</v>
      </c>
      <c r="I42" s="10">
        <f>SUM($H$28:H42)</f>
        <v>180000</v>
      </c>
      <c r="J42" s="10">
        <f t="shared" si="13"/>
        <v>0</v>
      </c>
      <c r="K42" s="10">
        <f t="shared" si="14"/>
        <v>435906.96327043837</v>
      </c>
      <c r="L42" s="10">
        <f t="shared" si="0"/>
        <v>474702.68300150736</v>
      </c>
      <c r="M42" s="10">
        <f t="shared" si="1"/>
        <v>6595.2723542817293</v>
      </c>
      <c r="N42" s="10">
        <f t="shared" si="15"/>
        <v>468107.41064722562</v>
      </c>
      <c r="O42" s="7">
        <f t="shared" si="6"/>
        <v>2808.6444638833536</v>
      </c>
      <c r="P42" s="10">
        <f t="shared" si="7"/>
        <v>465298.76618334226</v>
      </c>
      <c r="U42">
        <v>15</v>
      </c>
      <c r="V42" s="10">
        <f t="shared" si="8"/>
        <v>0</v>
      </c>
      <c r="W42" s="10">
        <f t="shared" si="16"/>
        <v>0</v>
      </c>
      <c r="X42" s="10">
        <f t="shared" si="17"/>
        <v>469220.33886208764</v>
      </c>
      <c r="Y42" s="94">
        <f t="shared" si="18"/>
        <v>9384.4067772417529</v>
      </c>
      <c r="Z42" s="94">
        <f t="shared" si="19"/>
        <v>2533.7898298552736</v>
      </c>
      <c r="AA42" s="95">
        <f t="shared" si="20"/>
        <v>0</v>
      </c>
      <c r="AB42" s="94">
        <f t="shared" si="21"/>
        <v>506570.2778355098</v>
      </c>
      <c r="AC42" s="10">
        <f t="shared" si="22"/>
        <v>37349.938973422162</v>
      </c>
      <c r="AD42" s="10">
        <f>SUM($AC$28:AC42)</f>
        <v>326570.2778355098</v>
      </c>
      <c r="AE42" s="94">
        <f t="shared" si="9"/>
        <v>506.57027783550978</v>
      </c>
      <c r="AF42" s="94">
        <f t="shared" si="2"/>
        <v>12721.210170144726</v>
      </c>
      <c r="AG42" s="95">
        <f t="shared" si="24"/>
        <v>117370.96753735564</v>
      </c>
      <c r="AH42" s="10">
        <f t="shared" si="23"/>
        <v>375971.52985017386</v>
      </c>
      <c r="AO42" s="91"/>
      <c r="AP42" s="10"/>
      <c r="AQ42" s="73" t="str">
        <f t="shared" si="4"/>
        <v/>
      </c>
      <c r="AR42" s="79" t="str" cm="1">
        <f t="array" ref="AR42">IFERROR(INDEX($AQ$28:$AQ$78,_xlfn.AGGREGATE(15,3,ROW($AQ$28:$AQ$78)-ROW($AN$27)/($AQ$28:$AQ$78&lt;&gt;""),ROWS($AN$28:AN42))),"")</f>
        <v/>
      </c>
      <c r="AS42" s="73"/>
      <c r="AT42" s="73" t="str">
        <f t="shared" si="10"/>
        <v/>
      </c>
      <c r="AU42" s="84" t="str" cm="1">
        <f t="array" ref="AU42">IFERROR(INDEX($AT$28:$AT$78,_xlfn.AGGREGATE(15,3,ROW($AT$28:$AT$78)-ROW($AN$27)/($AT$28:$AT$78&lt;&gt;""),ROWS($AN$28:AN42))),"")</f>
        <v/>
      </c>
      <c r="AV42" s="10"/>
      <c r="AW42" s="10" t="str">
        <f t="shared" si="5"/>
        <v/>
      </c>
      <c r="AX42" s="89" t="str" cm="1">
        <f t="array" ref="AX42">IFERROR(INDEX($AW$28:$AW$78,_xlfn.AGGREGATE(15,3,ROW($AW$28:$AW$78)-ROW($AN$27)/($AW$28:$AW$78&lt;&gt;""),ROWS($AN$28:AN42))),"")</f>
        <v/>
      </c>
      <c r="AY42" s="10"/>
      <c r="AZ42" s="10" t="str">
        <f t="shared" si="11"/>
        <v/>
      </c>
      <c r="BA42" s="10" t="str" cm="1">
        <f t="array" ref="BA42">IFERROR(INDEX($AZ$28:$AZ$78,_xlfn.AGGREGATE(15,3,ROW($AZ$28:$AZ$78)-ROW($AN$27)/($AW$28:$AW$78&lt;&gt;""),ROWS($AN$28:AN42))),"")</f>
        <v/>
      </c>
      <c r="BB42" s="10"/>
      <c r="BC42" s="33"/>
    </row>
    <row r="43" spans="1:59">
      <c r="G43">
        <v>16</v>
      </c>
      <c r="H43" s="10">
        <f t="shared" si="12"/>
        <v>0</v>
      </c>
      <c r="I43" s="10">
        <f>SUM($H$28:H43)</f>
        <v>180000</v>
      </c>
      <c r="J43" s="10">
        <f t="shared" si="13"/>
        <v>0</v>
      </c>
      <c r="K43" s="10">
        <f t="shared" si="14"/>
        <v>468107.41064722562</v>
      </c>
      <c r="L43" s="10">
        <f t="shared" si="0"/>
        <v>509768.9701948287</v>
      </c>
      <c r="M43" s="10">
        <f t="shared" si="1"/>
        <v>7082.4651230925228</v>
      </c>
      <c r="N43" s="10">
        <f t="shared" si="15"/>
        <v>502686.50507173617</v>
      </c>
      <c r="O43" s="7">
        <f t="shared" si="6"/>
        <v>3016.1190304304168</v>
      </c>
      <c r="P43" s="10">
        <f t="shared" si="7"/>
        <v>499670.38604130578</v>
      </c>
      <c r="U43">
        <v>16</v>
      </c>
      <c r="V43" s="10">
        <f t="shared" si="8"/>
        <v>0</v>
      </c>
      <c r="W43" s="10">
        <f t="shared" si="16"/>
        <v>0</v>
      </c>
      <c r="X43" s="10">
        <f t="shared" si="17"/>
        <v>506570.2778355098</v>
      </c>
      <c r="Y43" s="94">
        <f t="shared" si="18"/>
        <v>10131.405556710197</v>
      </c>
      <c r="Z43" s="94">
        <f t="shared" si="19"/>
        <v>2735.4795003117533</v>
      </c>
      <c r="AA43" s="95">
        <f t="shared" si="20"/>
        <v>0</v>
      </c>
      <c r="AB43" s="94">
        <f t="shared" si="21"/>
        <v>546893.27195121639</v>
      </c>
      <c r="AC43" s="10">
        <f t="shared" si="22"/>
        <v>40322.994115706591</v>
      </c>
      <c r="AD43" s="10">
        <f>SUM($AC$28:AC43)</f>
        <v>366893.27195121639</v>
      </c>
      <c r="AE43" s="94">
        <f t="shared" si="9"/>
        <v>546.89327195121643</v>
      </c>
      <c r="AF43" s="94">
        <f t="shared" si="2"/>
        <v>12519.520499688248</v>
      </c>
      <c r="AG43" s="95">
        <f t="shared" si="24"/>
        <v>134620.36455332916</v>
      </c>
      <c r="AH43" s="10">
        <f t="shared" si="23"/>
        <v>399206.49362624774</v>
      </c>
      <c r="AO43" s="91"/>
      <c r="AP43" s="10"/>
      <c r="AQ43" s="73" t="str">
        <f t="shared" si="4"/>
        <v/>
      </c>
      <c r="AR43" s="79" t="str" cm="1">
        <f t="array" ref="AR43">IFERROR(INDEX($AQ$28:$AQ$78,_xlfn.AGGREGATE(15,3,ROW($AQ$28:$AQ$78)-ROW($AN$27)/($AQ$28:$AQ$78&lt;&gt;""),ROWS($AN$28:AN43))),"")</f>
        <v/>
      </c>
      <c r="AS43" s="73"/>
      <c r="AT43" s="73" t="str">
        <f t="shared" si="10"/>
        <v/>
      </c>
      <c r="AU43" s="84" t="str" cm="1">
        <f t="array" ref="AU43">IFERROR(INDEX($AT$28:$AT$78,_xlfn.AGGREGATE(15,3,ROW($AT$28:$AT$78)-ROW($AN$27)/($AT$28:$AT$78&lt;&gt;""),ROWS($AN$28:AN43))),"")</f>
        <v/>
      </c>
      <c r="AV43" s="10"/>
      <c r="AW43" s="10" t="str">
        <f t="shared" si="5"/>
        <v/>
      </c>
      <c r="AX43" s="89" t="str" cm="1">
        <f t="array" ref="AX43">IFERROR(INDEX($AW$28:$AW$78,_xlfn.AGGREGATE(15,3,ROW($AW$28:$AW$78)-ROW($AN$27)/($AW$28:$AW$78&lt;&gt;""),ROWS($AN$28:AN43))),"")</f>
        <v/>
      </c>
      <c r="AY43" s="10"/>
      <c r="AZ43" s="10" t="str">
        <f t="shared" si="11"/>
        <v/>
      </c>
      <c r="BA43" s="10" t="str" cm="1">
        <f t="array" ref="BA43">IFERROR(INDEX($AZ$28:$AZ$78,_xlfn.AGGREGATE(15,3,ROW($AZ$28:$AZ$78)-ROW($AN$27)/($AW$28:$AW$78&lt;&gt;""),ROWS($AN$28:AN43))),"")</f>
        <v/>
      </c>
      <c r="BB43" s="10"/>
      <c r="BC43" s="33"/>
      <c r="BG43" s="23"/>
    </row>
    <row r="44" spans="1:59">
      <c r="G44">
        <v>17</v>
      </c>
      <c r="H44" s="10">
        <f t="shared" si="12"/>
        <v>0</v>
      </c>
      <c r="I44" s="10">
        <f>SUM($H$28:H44)</f>
        <v>180000</v>
      </c>
      <c r="J44" s="10">
        <f t="shared" si="13"/>
        <v>0</v>
      </c>
      <c r="K44" s="10">
        <f t="shared" si="14"/>
        <v>502686.50507173617</v>
      </c>
      <c r="L44" s="10">
        <f t="shared" si="0"/>
        <v>547425.60402312072</v>
      </c>
      <c r="M44" s="10">
        <f t="shared" si="1"/>
        <v>7605.6468217353722</v>
      </c>
      <c r="N44" s="10">
        <f t="shared" si="15"/>
        <v>539819.95720138529</v>
      </c>
      <c r="O44" s="7">
        <f t="shared" si="6"/>
        <v>3238.919743208312</v>
      </c>
      <c r="P44" s="10">
        <f t="shared" si="7"/>
        <v>536581.03745817696</v>
      </c>
      <c r="U44">
        <v>17</v>
      </c>
      <c r="V44" s="10">
        <f t="shared" si="8"/>
        <v>0</v>
      </c>
      <c r="W44" s="10">
        <f t="shared" si="16"/>
        <v>0</v>
      </c>
      <c r="X44" s="10">
        <f t="shared" si="17"/>
        <v>546893.27195121639</v>
      </c>
      <c r="Y44" s="94">
        <f t="shared" si="18"/>
        <v>10937.865439024328</v>
      </c>
      <c r="Z44" s="94">
        <f t="shared" si="19"/>
        <v>2953.2236685365688</v>
      </c>
      <c r="AA44" s="95">
        <f t="shared" si="20"/>
        <v>0</v>
      </c>
      <c r="AB44" s="94">
        <f t="shared" si="21"/>
        <v>590425.97639853321</v>
      </c>
      <c r="AC44" s="10">
        <f t="shared" si="22"/>
        <v>43532.704447316821</v>
      </c>
      <c r="AD44" s="10">
        <f>SUM($AC$28:AC44)</f>
        <v>410425.97639853321</v>
      </c>
      <c r="AE44" s="94">
        <f t="shared" si="9"/>
        <v>590.42597639853318</v>
      </c>
      <c r="AF44" s="94">
        <f t="shared" si="2"/>
        <v>12301.77633146343</v>
      </c>
      <c r="AG44" s="95">
        <f t="shared" si="24"/>
        <v>153242.81357177417</v>
      </c>
      <c r="AH44" s="10">
        <f t="shared" si="23"/>
        <v>424290.96051889705</v>
      </c>
      <c r="AO44" s="91"/>
      <c r="AP44" s="10"/>
      <c r="AQ44" s="73" t="str">
        <f t="shared" si="4"/>
        <v/>
      </c>
      <c r="AR44" s="79" t="str" cm="1">
        <f t="array" ref="AR44">IFERROR(INDEX($AQ$28:$AQ$78,_xlfn.AGGREGATE(15,3,ROW($AQ$28:$AQ$78)-ROW($AN$27)/($AQ$28:$AQ$78&lt;&gt;""),ROWS($AN$28:AN44))),"")</f>
        <v/>
      </c>
      <c r="AS44" s="73"/>
      <c r="AT44" s="73" t="str">
        <f t="shared" si="10"/>
        <v/>
      </c>
      <c r="AU44" s="84" t="str" cm="1">
        <f t="array" ref="AU44">IFERROR(INDEX($AT$28:$AT$78,_xlfn.AGGREGATE(15,3,ROW($AT$28:$AT$78)-ROW($AN$27)/($AT$28:$AT$78&lt;&gt;""),ROWS($AN$28:AN44))),"")</f>
        <v/>
      </c>
      <c r="AV44" s="10"/>
      <c r="AW44" s="10" t="str">
        <f t="shared" si="5"/>
        <v/>
      </c>
      <c r="AX44" s="89" t="str" cm="1">
        <f t="array" ref="AX44">IFERROR(INDEX($AW$28:$AW$78,_xlfn.AGGREGATE(15,3,ROW($AW$28:$AW$78)-ROW($AN$27)/($AW$28:$AW$78&lt;&gt;""),ROWS($AN$28:AN44))),"")</f>
        <v/>
      </c>
      <c r="AY44" s="10"/>
      <c r="AZ44" s="10" t="str">
        <f t="shared" si="11"/>
        <v/>
      </c>
      <c r="BA44" s="10" t="str" cm="1">
        <f t="array" ref="BA44">IFERROR(INDEX($AZ$28:$AZ$78,_xlfn.AGGREGATE(15,3,ROW($AZ$28:$AZ$78)-ROW($AN$27)/($AW$28:$AW$78&lt;&gt;""),ROWS($AN$28:AN44))),"")</f>
        <v/>
      </c>
      <c r="BB44" s="10"/>
      <c r="BC44" s="33"/>
    </row>
    <row r="45" spans="1:59">
      <c r="G45">
        <v>18</v>
      </c>
      <c r="H45" s="10">
        <f t="shared" si="12"/>
        <v>0</v>
      </c>
      <c r="I45" s="10">
        <f>SUM($H$28:H45)</f>
        <v>180000</v>
      </c>
      <c r="J45" s="10">
        <f t="shared" si="13"/>
        <v>0</v>
      </c>
      <c r="K45" s="10">
        <f t="shared" si="14"/>
        <v>539819.95720138529</v>
      </c>
      <c r="L45" s="10">
        <f t="shared" si="0"/>
        <v>587863.93339230854</v>
      </c>
      <c r="M45" s="10">
        <f t="shared" si="1"/>
        <v>8167.4759524569527</v>
      </c>
      <c r="N45" s="10">
        <f t="shared" si="15"/>
        <v>579696.4574398516</v>
      </c>
      <c r="O45" s="7">
        <f t="shared" si="6"/>
        <v>3478.1787446391095</v>
      </c>
      <c r="P45" s="10">
        <f t="shared" si="7"/>
        <v>576218.27869521244</v>
      </c>
      <c r="U45">
        <v>18</v>
      </c>
      <c r="V45" s="10">
        <f t="shared" si="8"/>
        <v>0</v>
      </c>
      <c r="W45" s="10">
        <f t="shared" si="16"/>
        <v>0</v>
      </c>
      <c r="X45" s="10">
        <f t="shared" si="17"/>
        <v>590425.97639853321</v>
      </c>
      <c r="Y45" s="94">
        <f t="shared" si="18"/>
        <v>11808.519527970664</v>
      </c>
      <c r="Z45" s="94">
        <f t="shared" si="19"/>
        <v>3188.3002725520796</v>
      </c>
      <c r="AA45" s="95">
        <f t="shared" si="20"/>
        <v>0</v>
      </c>
      <c r="AB45" s="94">
        <f t="shared" si="21"/>
        <v>637423.88411985652</v>
      </c>
      <c r="AC45" s="10">
        <f t="shared" si="22"/>
        <v>46997.90772132331</v>
      </c>
      <c r="AD45" s="10">
        <f>SUM($AC$28:AC45)</f>
        <v>457423.88411985652</v>
      </c>
      <c r="AE45" s="94">
        <f t="shared" si="9"/>
        <v>637.42388411985655</v>
      </c>
      <c r="AF45" s="94">
        <f t="shared" si="2"/>
        <v>12066.69972744792</v>
      </c>
      <c r="AG45" s="95">
        <f t="shared" si="24"/>
        <v>173347.60953208743</v>
      </c>
      <c r="AH45" s="10">
        <f t="shared" si="23"/>
        <v>451372.15097620129</v>
      </c>
      <c r="AO45" s="91"/>
      <c r="AP45" s="10"/>
      <c r="AQ45" s="73" t="str">
        <f t="shared" si="4"/>
        <v/>
      </c>
      <c r="AR45" s="79" t="str" cm="1">
        <f t="array" ref="AR45">IFERROR(INDEX($AQ$28:$AQ$78,_xlfn.AGGREGATE(15,3,ROW($AQ$28:$AQ$78)-ROW($AN$27)/($AQ$28:$AQ$78&lt;&gt;""),ROWS($AN$28:AN45))),"")</f>
        <v/>
      </c>
      <c r="AS45" s="73"/>
      <c r="AT45" s="73" t="str">
        <f t="shared" si="10"/>
        <v/>
      </c>
      <c r="AU45" s="84" t="str" cm="1">
        <f t="array" ref="AU45">IFERROR(INDEX($AT$28:$AT$78,_xlfn.AGGREGATE(15,3,ROW($AT$28:$AT$78)-ROW($AN$27)/($AT$28:$AT$78&lt;&gt;""),ROWS($AN$28:AN45))),"")</f>
        <v/>
      </c>
      <c r="AV45" s="10"/>
      <c r="AW45" s="10" t="str">
        <f t="shared" si="5"/>
        <v/>
      </c>
      <c r="AX45" s="89" t="str" cm="1">
        <f t="array" ref="AX45">IFERROR(INDEX($AW$28:$AW$78,_xlfn.AGGREGATE(15,3,ROW($AW$28:$AW$78)-ROW($AN$27)/($AW$28:$AW$78&lt;&gt;""),ROWS($AN$28:AN45))),"")</f>
        <v/>
      </c>
      <c r="AY45" s="10"/>
      <c r="AZ45" s="10" t="str">
        <f t="shared" si="11"/>
        <v/>
      </c>
      <c r="BA45" s="10" t="str" cm="1">
        <f t="array" ref="BA45">IFERROR(INDEX($AZ$28:$AZ$78,_xlfn.AGGREGATE(15,3,ROW($AZ$28:$AZ$78)-ROW($AN$27)/($AW$28:$AW$78&lt;&gt;""),ROWS($AN$28:AN45))),"")</f>
        <v/>
      </c>
      <c r="BB45" s="10"/>
      <c r="BC45" s="33"/>
    </row>
    <row r="46" spans="1:59">
      <c r="G46">
        <v>19</v>
      </c>
      <c r="H46" s="10">
        <f t="shared" si="12"/>
        <v>0</v>
      </c>
      <c r="I46" s="10">
        <f>SUM($H$28:H46)</f>
        <v>180000</v>
      </c>
      <c r="J46" s="10">
        <f t="shared" si="13"/>
        <v>0</v>
      </c>
      <c r="K46" s="10">
        <f t="shared" si="14"/>
        <v>579696.4574398516</v>
      </c>
      <c r="L46" s="10">
        <f t="shared" si="0"/>
        <v>631289.4421519984</v>
      </c>
      <c r="M46" s="10">
        <f t="shared" si="1"/>
        <v>8770.807401064958</v>
      </c>
      <c r="N46" s="10">
        <f t="shared" si="15"/>
        <v>622518.63475093339</v>
      </c>
      <c r="O46" s="7">
        <f t="shared" si="6"/>
        <v>3735.1118085056005</v>
      </c>
      <c r="P46" s="10">
        <f t="shared" si="7"/>
        <v>618783.52294242778</v>
      </c>
      <c r="U46">
        <v>19</v>
      </c>
      <c r="V46" s="10">
        <f t="shared" si="8"/>
        <v>0</v>
      </c>
      <c r="W46" s="10">
        <f t="shared" si="16"/>
        <v>0</v>
      </c>
      <c r="X46" s="10">
        <f t="shared" si="17"/>
        <v>637423.88411985652</v>
      </c>
      <c r="Y46" s="94">
        <f t="shared" si="18"/>
        <v>12748.477682397132</v>
      </c>
      <c r="Z46" s="94">
        <f t="shared" si="19"/>
        <v>3442.0889742472259</v>
      </c>
      <c r="AA46" s="95">
        <f t="shared" si="20"/>
        <v>0</v>
      </c>
      <c r="AB46" s="94">
        <f t="shared" si="21"/>
        <v>688162.82529579708</v>
      </c>
      <c r="AC46" s="10">
        <f t="shared" si="22"/>
        <v>50738.941175940563</v>
      </c>
      <c r="AD46" s="10">
        <f>SUM($AC$28:AC46)</f>
        <v>508162.82529579708</v>
      </c>
      <c r="AE46" s="94">
        <f t="shared" si="9"/>
        <v>688.16282529579712</v>
      </c>
      <c r="AF46" s="94">
        <f t="shared" si="2"/>
        <v>11812.911025752775</v>
      </c>
      <c r="AG46" s="95">
        <f t="shared" si="24"/>
        <v>195052.74725084155</v>
      </c>
      <c r="AH46" s="10">
        <f t="shared" si="23"/>
        <v>480609.00419390691</v>
      </c>
      <c r="AO46" s="91"/>
      <c r="AP46" s="10"/>
      <c r="AQ46" s="73" t="str">
        <f t="shared" si="4"/>
        <v/>
      </c>
      <c r="AR46" s="79" t="str" cm="1">
        <f t="array" ref="AR46">IFERROR(INDEX($AQ$28:$AQ$78,_xlfn.AGGREGATE(15,3,ROW($AQ$28:$AQ$78)-ROW($AN$27)/($AQ$28:$AQ$78&lt;&gt;""),ROWS($AN$28:AN46))),"")</f>
        <v/>
      </c>
      <c r="AS46" s="73"/>
      <c r="AT46" s="73" t="str">
        <f t="shared" si="10"/>
        <v/>
      </c>
      <c r="AU46" s="84" t="str" cm="1">
        <f t="array" ref="AU46">IFERROR(INDEX($AT$28:$AT$78,_xlfn.AGGREGATE(15,3,ROW($AT$28:$AT$78)-ROW($AN$27)/($AT$28:$AT$78&lt;&gt;""),ROWS($AN$28:AN46))),"")</f>
        <v/>
      </c>
      <c r="AV46" s="10"/>
      <c r="AW46" s="10" t="str">
        <f t="shared" si="5"/>
        <v/>
      </c>
      <c r="AX46" s="89" t="str" cm="1">
        <f t="array" ref="AX46">IFERROR(INDEX($AW$28:$AW$78,_xlfn.AGGREGATE(15,3,ROW($AW$28:$AW$78)-ROW($AN$27)/($AW$28:$AW$78&lt;&gt;""),ROWS($AN$28:AN46))),"")</f>
        <v/>
      </c>
      <c r="AY46" s="10"/>
      <c r="AZ46" s="10" t="str">
        <f t="shared" si="11"/>
        <v/>
      </c>
      <c r="BA46" s="10" t="str" cm="1">
        <f t="array" ref="BA46">IFERROR(INDEX($AZ$28:$AZ$78,_xlfn.AGGREGATE(15,3,ROW($AZ$28:$AZ$78)-ROW($AN$27)/($AW$28:$AW$78&lt;&gt;""),ROWS($AN$28:AN46))),"")</f>
        <v/>
      </c>
      <c r="BB46" s="10"/>
      <c r="BC46" s="33"/>
    </row>
    <row r="47" spans="1:59">
      <c r="G47">
        <v>20</v>
      </c>
      <c r="H47" s="10">
        <f t="shared" si="12"/>
        <v>0</v>
      </c>
      <c r="I47" s="10">
        <f>SUM($H$28:H47)</f>
        <v>180000</v>
      </c>
      <c r="J47" s="10">
        <f t="shared" si="13"/>
        <v>0</v>
      </c>
      <c r="K47" s="10">
        <f t="shared" si="14"/>
        <v>622518.63475093339</v>
      </c>
      <c r="L47" s="10">
        <f t="shared" si="0"/>
        <v>677922.79324376641</v>
      </c>
      <c r="M47" s="10">
        <f t="shared" si="1"/>
        <v>9418.7069437816153</v>
      </c>
      <c r="N47" s="10">
        <f t="shared" si="15"/>
        <v>668504.08629998483</v>
      </c>
      <c r="O47" s="7">
        <f t="shared" si="6"/>
        <v>4011.0245177999091</v>
      </c>
      <c r="P47" s="10">
        <f t="shared" si="7"/>
        <v>664493.06178218487</v>
      </c>
      <c r="U47">
        <v>20</v>
      </c>
      <c r="V47" s="10">
        <f t="shared" si="8"/>
        <v>0</v>
      </c>
      <c r="W47" s="10">
        <f t="shared" si="16"/>
        <v>0</v>
      </c>
      <c r="X47" s="10">
        <f t="shared" si="17"/>
        <v>688162.82529579708</v>
      </c>
      <c r="Y47" s="94">
        <f t="shared" si="18"/>
        <v>13763.256505915942</v>
      </c>
      <c r="Z47" s="94">
        <f t="shared" si="19"/>
        <v>3716.0792565973047</v>
      </c>
      <c r="AA47" s="95">
        <f t="shared" si="20"/>
        <v>0</v>
      </c>
      <c r="AB47" s="94">
        <f t="shared" si="21"/>
        <v>742940.58618934255</v>
      </c>
      <c r="AC47" s="10">
        <f t="shared" si="22"/>
        <v>54777.760893545463</v>
      </c>
      <c r="AD47" s="10">
        <f>SUM($AC$28:AC47)</f>
        <v>562940.58618934255</v>
      </c>
      <c r="AE47" s="94">
        <f t="shared" si="9"/>
        <v>742.94058618934253</v>
      </c>
      <c r="AF47" s="94">
        <f t="shared" si="2"/>
        <v>11538.920743402698</v>
      </c>
      <c r="AG47" s="95">
        <f t="shared" si="24"/>
        <v>218485.61393200856</v>
      </c>
      <c r="AH47" s="10">
        <f t="shared" si="23"/>
        <v>512173.11092774192</v>
      </c>
      <c r="AO47" s="91"/>
      <c r="AP47" s="10"/>
      <c r="AQ47" s="73" t="str">
        <f t="shared" si="4"/>
        <v/>
      </c>
      <c r="AR47" s="79" t="str" cm="1">
        <f t="array" ref="AR47">IFERROR(INDEX($AQ$28:$AQ$78,_xlfn.AGGREGATE(15,3,ROW($AQ$28:$AQ$78)-ROW($AN$27)/($AQ$28:$AQ$78&lt;&gt;""),ROWS($AN$28:AN47))),"")</f>
        <v/>
      </c>
      <c r="AS47" s="73"/>
      <c r="AT47" s="73" t="str">
        <f t="shared" si="10"/>
        <v/>
      </c>
      <c r="AU47" s="84" t="str" cm="1">
        <f t="array" ref="AU47">IFERROR(INDEX($AT$28:$AT$78,_xlfn.AGGREGATE(15,3,ROW($AT$28:$AT$78)-ROW($AN$27)/($AT$28:$AT$78&lt;&gt;""),ROWS($AN$28:AN47))),"")</f>
        <v/>
      </c>
      <c r="AV47" s="10"/>
      <c r="AW47" s="10" t="str">
        <f t="shared" si="5"/>
        <v/>
      </c>
      <c r="AX47" s="89" t="str" cm="1">
        <f t="array" ref="AX47">IFERROR(INDEX($AW$28:$AW$78,_xlfn.AGGREGATE(15,3,ROW($AW$28:$AW$78)-ROW($AN$27)/($AW$28:$AW$78&lt;&gt;""),ROWS($AN$28:AN47))),"")</f>
        <v/>
      </c>
      <c r="AY47" s="10"/>
      <c r="AZ47" s="10" t="str">
        <f t="shared" si="11"/>
        <v/>
      </c>
      <c r="BA47" s="10" t="str" cm="1">
        <f t="array" ref="BA47">IFERROR(INDEX($AZ$28:$AZ$78,_xlfn.AGGREGATE(15,3,ROW($AZ$28:$AZ$78)-ROW($AN$27)/($AW$28:$AW$78&lt;&gt;""),ROWS($AN$28:AN47))),"")</f>
        <v/>
      </c>
      <c r="BB47" s="10"/>
      <c r="BC47" s="33"/>
    </row>
    <row r="48" spans="1:59">
      <c r="G48">
        <v>21</v>
      </c>
      <c r="H48" s="10">
        <f t="shared" si="12"/>
        <v>0</v>
      </c>
      <c r="I48" s="10">
        <f>SUM($H$28:H48)</f>
        <v>180000</v>
      </c>
      <c r="J48" s="10">
        <f t="shared" si="13"/>
        <v>0</v>
      </c>
      <c r="K48" s="10">
        <f t="shared" si="14"/>
        <v>668504.08629998483</v>
      </c>
      <c r="L48" s="10">
        <f t="shared" si="0"/>
        <v>728000.94998068351</v>
      </c>
      <c r="M48" s="10">
        <f t="shared" si="1"/>
        <v>10114.466825718775</v>
      </c>
      <c r="N48" s="10">
        <f t="shared" si="15"/>
        <v>717886.48315496475</v>
      </c>
      <c r="O48" s="7">
        <f t="shared" si="6"/>
        <v>4307.3188989297887</v>
      </c>
      <c r="P48" s="10">
        <f t="shared" si="7"/>
        <v>713579.164256035</v>
      </c>
      <c r="U48">
        <v>21</v>
      </c>
      <c r="V48" s="10">
        <f t="shared" si="8"/>
        <v>0</v>
      </c>
      <c r="W48" s="10">
        <f t="shared" si="16"/>
        <v>0</v>
      </c>
      <c r="X48" s="10">
        <f t="shared" si="17"/>
        <v>742940.58618934255</v>
      </c>
      <c r="Y48" s="94">
        <f t="shared" si="18"/>
        <v>14858.811723786852</v>
      </c>
      <c r="Z48" s="94">
        <f t="shared" si="19"/>
        <v>4011.8791654224501</v>
      </c>
      <c r="AA48" s="95">
        <f t="shared" si="20"/>
        <v>0</v>
      </c>
      <c r="AB48" s="94">
        <f t="shared" si="21"/>
        <v>802078.65685001411</v>
      </c>
      <c r="AC48" s="10">
        <f t="shared" si="22"/>
        <v>59138.070660671568</v>
      </c>
      <c r="AD48" s="10">
        <f>SUM($AC$28:AC48)</f>
        <v>622078.65685001411</v>
      </c>
      <c r="AE48" s="94">
        <f t="shared" si="9"/>
        <v>802.07865685001411</v>
      </c>
      <c r="AF48" s="94">
        <f t="shared" si="2"/>
        <v>11243.12083457755</v>
      </c>
      <c r="AG48" s="95">
        <f t="shared" si="24"/>
        <v>243783.73680099641</v>
      </c>
      <c r="AH48" s="10">
        <f t="shared" si="23"/>
        <v>546249.72055759002</v>
      </c>
      <c r="AO48" s="91"/>
      <c r="AP48" s="10"/>
      <c r="AQ48" s="73" t="str">
        <f t="shared" si="4"/>
        <v/>
      </c>
      <c r="AR48" s="79" t="str" cm="1">
        <f t="array" ref="AR48">IFERROR(INDEX($AQ$28:$AQ$78,_xlfn.AGGREGATE(15,3,ROW($AQ$28:$AQ$78)-ROW($AN$27)/($AQ$28:$AQ$78&lt;&gt;""),ROWS($AN$28:AN48))),"")</f>
        <v/>
      </c>
      <c r="AS48" s="73"/>
      <c r="AT48" s="73" t="str">
        <f t="shared" si="10"/>
        <v/>
      </c>
      <c r="AU48" s="84" t="str" cm="1">
        <f t="array" ref="AU48">IFERROR(INDEX($AT$28:$AT$78,_xlfn.AGGREGATE(15,3,ROW($AT$28:$AT$78)-ROW($AN$27)/($AT$28:$AT$78&lt;&gt;""),ROWS($AN$28:AN48))),"")</f>
        <v/>
      </c>
      <c r="AV48" s="10"/>
      <c r="AW48" s="10" t="str">
        <f t="shared" si="5"/>
        <v/>
      </c>
      <c r="AX48" s="89" t="str" cm="1">
        <f t="array" ref="AX48">IFERROR(INDEX($AW$28:$AW$78,_xlfn.AGGREGATE(15,3,ROW($AW$28:$AW$78)-ROW($AN$27)/($AW$28:$AW$78&lt;&gt;""),ROWS($AN$28:AN48))),"")</f>
        <v/>
      </c>
      <c r="AY48" s="10"/>
      <c r="AZ48" s="10" t="str">
        <f t="shared" si="11"/>
        <v/>
      </c>
      <c r="BA48" s="10" t="str" cm="1">
        <f t="array" ref="BA48">IFERROR(INDEX($AZ$28:$AZ$78,_xlfn.AGGREGATE(15,3,ROW($AZ$28:$AZ$78)-ROW($AN$27)/($AW$28:$AW$78&lt;&gt;""),ROWS($AN$28:AN48))),"")</f>
        <v/>
      </c>
      <c r="BB48" s="10"/>
      <c r="BC48" s="33"/>
    </row>
    <row r="49" spans="7:55">
      <c r="G49">
        <v>22</v>
      </c>
      <c r="H49" s="10">
        <f t="shared" si="12"/>
        <v>0</v>
      </c>
      <c r="I49" s="10">
        <f>SUM($H$28:H49)</f>
        <v>180000</v>
      </c>
      <c r="J49" s="10">
        <f t="shared" si="13"/>
        <v>0</v>
      </c>
      <c r="K49" s="10">
        <f t="shared" si="14"/>
        <v>717886.48315496475</v>
      </c>
      <c r="L49" s="10">
        <f t="shared" si="0"/>
        <v>781778.3801557566</v>
      </c>
      <c r="M49" s="10">
        <f t="shared" si="1"/>
        <v>10861.622490134616</v>
      </c>
      <c r="N49" s="10">
        <f t="shared" si="15"/>
        <v>770916.75766562193</v>
      </c>
      <c r="O49" s="7">
        <f t="shared" si="6"/>
        <v>4625.500545993732</v>
      </c>
      <c r="P49" s="10">
        <f t="shared" si="7"/>
        <v>766291.25711962825</v>
      </c>
      <c r="U49">
        <v>22</v>
      </c>
      <c r="V49" s="10">
        <f t="shared" si="8"/>
        <v>0</v>
      </c>
      <c r="W49" s="10">
        <f t="shared" si="16"/>
        <v>0</v>
      </c>
      <c r="X49" s="10">
        <f t="shared" si="17"/>
        <v>802078.65685001411</v>
      </c>
      <c r="Y49" s="94">
        <f t="shared" si="18"/>
        <v>16041.573137000283</v>
      </c>
      <c r="Z49" s="94">
        <f t="shared" si="19"/>
        <v>4331.2247469900767</v>
      </c>
      <c r="AA49" s="95">
        <f t="shared" si="20"/>
        <v>0</v>
      </c>
      <c r="AB49" s="94">
        <f t="shared" si="21"/>
        <v>865924.11793527519</v>
      </c>
      <c r="AC49" s="10">
        <f t="shared" si="22"/>
        <v>63845.461085261079</v>
      </c>
      <c r="AD49" s="10">
        <f>SUM($AC$28:AC49)</f>
        <v>685924.11793527519</v>
      </c>
      <c r="AE49" s="94">
        <f t="shared" si="9"/>
        <v>865.92411793527526</v>
      </c>
      <c r="AF49" s="94">
        <f t="shared" si="2"/>
        <v>10923.775253009924</v>
      </c>
      <c r="AG49" s="95">
        <f t="shared" si="24"/>
        <v>271095.59025035572</v>
      </c>
      <c r="AH49" s="10">
        <f t="shared" si="23"/>
        <v>583038.82831397443</v>
      </c>
      <c r="AO49" s="91"/>
      <c r="AP49" s="10"/>
      <c r="AQ49" s="73" t="str">
        <f t="shared" si="4"/>
        <v/>
      </c>
      <c r="AR49" s="79" t="str" cm="1">
        <f t="array" ref="AR49">IFERROR(INDEX($AQ$28:$AQ$78,_xlfn.AGGREGATE(15,3,ROW($AQ$28:$AQ$78)-ROW($AN$27)/($AQ$28:$AQ$78&lt;&gt;""),ROWS($AN$28:AN49))),"")</f>
        <v/>
      </c>
      <c r="AS49" s="73"/>
      <c r="AT49" s="73" t="str">
        <f t="shared" si="10"/>
        <v/>
      </c>
      <c r="AU49" s="84" t="str" cm="1">
        <f t="array" ref="AU49">IFERROR(INDEX($AT$28:$AT$78,_xlfn.AGGREGATE(15,3,ROW($AT$28:$AT$78)-ROW($AN$27)/($AT$28:$AT$78&lt;&gt;""),ROWS($AN$28:AN49))),"")</f>
        <v/>
      </c>
      <c r="AV49" s="10"/>
      <c r="AW49" s="10" t="str">
        <f t="shared" si="5"/>
        <v/>
      </c>
      <c r="AX49" s="89" t="str" cm="1">
        <f t="array" ref="AX49">IFERROR(INDEX($AW$28:$AW$78,_xlfn.AGGREGATE(15,3,ROW($AW$28:$AW$78)-ROW($AN$27)/($AW$28:$AW$78&lt;&gt;""),ROWS($AN$28:AN49))),"")</f>
        <v/>
      </c>
      <c r="AY49" s="10"/>
      <c r="AZ49" s="10" t="str">
        <f t="shared" si="11"/>
        <v/>
      </c>
      <c r="BA49" s="10" t="str" cm="1">
        <f t="array" ref="BA49">IFERROR(INDEX($AZ$28:$AZ$78,_xlfn.AGGREGATE(15,3,ROW($AZ$28:$AZ$78)-ROW($AN$27)/($AW$28:$AW$78&lt;&gt;""),ROWS($AN$28:AN49))),"")</f>
        <v/>
      </c>
      <c r="BB49" s="10"/>
      <c r="BC49" s="33"/>
    </row>
    <row r="50" spans="7:55">
      <c r="G50">
        <v>23</v>
      </c>
      <c r="H50" s="10">
        <f t="shared" si="12"/>
        <v>0</v>
      </c>
      <c r="I50" s="10">
        <f>SUM($H$28:H50)</f>
        <v>180000</v>
      </c>
      <c r="J50" s="10">
        <f t="shared" si="13"/>
        <v>0</v>
      </c>
      <c r="K50" s="10">
        <f t="shared" si="14"/>
        <v>770916.75766562193</v>
      </c>
      <c r="L50" s="10">
        <f t="shared" si="0"/>
        <v>839528.34909786226</v>
      </c>
      <c r="M50" s="10">
        <f t="shared" si="1"/>
        <v>11663.970543480857</v>
      </c>
      <c r="N50" s="10">
        <f t="shared" si="15"/>
        <v>827864.37855438143</v>
      </c>
      <c r="O50" s="7">
        <f t="shared" si="6"/>
        <v>4967.186271326289</v>
      </c>
      <c r="P50" s="10">
        <f t="shared" si="7"/>
        <v>822897.19228305516</v>
      </c>
      <c r="U50">
        <v>23</v>
      </c>
      <c r="V50" s="10">
        <f t="shared" si="8"/>
        <v>0</v>
      </c>
      <c r="W50" s="10">
        <f t="shared" si="16"/>
        <v>0</v>
      </c>
      <c r="X50" s="10">
        <f t="shared" si="17"/>
        <v>865924.11793527519</v>
      </c>
      <c r="Y50" s="94">
        <f t="shared" si="18"/>
        <v>17318.482358705503</v>
      </c>
      <c r="Z50" s="94">
        <f t="shared" si="19"/>
        <v>4675.9902368504863</v>
      </c>
      <c r="AA50" s="95">
        <f t="shared" si="20"/>
        <v>0</v>
      </c>
      <c r="AB50" s="94">
        <f t="shared" si="21"/>
        <v>934851.67772292311</v>
      </c>
      <c r="AC50" s="10">
        <f t="shared" si="22"/>
        <v>68927.559787647915</v>
      </c>
      <c r="AD50" s="10">
        <f>SUM($AC$28:AC50)</f>
        <v>754851.67772292311</v>
      </c>
      <c r="AE50" s="94">
        <f t="shared" si="9"/>
        <v>934.85167772292311</v>
      </c>
      <c r="AF50" s="94">
        <f t="shared" si="2"/>
        <v>10579.009763149515</v>
      </c>
      <c r="AG50" s="95">
        <f t="shared" si="24"/>
        <v>300581.46723428398</v>
      </c>
      <c r="AH50" s="10">
        <f t="shared" si="23"/>
        <v>622756.34904776677</v>
      </c>
      <c r="AO50" s="91"/>
      <c r="AP50" s="10"/>
      <c r="AQ50" s="73" t="str">
        <f t="shared" si="4"/>
        <v/>
      </c>
      <c r="AR50" s="79" t="str" cm="1">
        <f t="array" ref="AR50">IFERROR(INDEX($AQ$28:$AQ$78,_xlfn.AGGREGATE(15,3,ROW($AQ$28:$AQ$78)-ROW($AN$27)/($AQ$28:$AQ$78&lt;&gt;""),ROWS($AN$28:AN50))),"")</f>
        <v/>
      </c>
      <c r="AS50" s="73"/>
      <c r="AT50" s="73" t="str">
        <f t="shared" si="10"/>
        <v/>
      </c>
      <c r="AU50" s="84" t="str" cm="1">
        <f t="array" ref="AU50">IFERROR(INDEX($AT$28:$AT$78,_xlfn.AGGREGATE(15,3,ROW($AT$28:$AT$78)-ROW($AN$27)/($AT$28:$AT$78&lt;&gt;""),ROWS($AN$28:AN50))),"")</f>
        <v/>
      </c>
      <c r="AV50" s="10"/>
      <c r="AW50" s="10" t="str">
        <f t="shared" si="5"/>
        <v/>
      </c>
      <c r="AX50" s="89" t="str" cm="1">
        <f t="array" ref="AX50">IFERROR(INDEX($AW$28:$AW$78,_xlfn.AGGREGATE(15,3,ROW($AW$28:$AW$78)-ROW($AN$27)/($AW$28:$AW$78&lt;&gt;""),ROWS($AN$28:AN50))),"")</f>
        <v/>
      </c>
      <c r="AY50" s="10"/>
      <c r="AZ50" s="10" t="str">
        <f t="shared" si="11"/>
        <v/>
      </c>
      <c r="BA50" s="10" t="str" cm="1">
        <f t="array" ref="BA50">IFERROR(INDEX($AZ$28:$AZ$78,_xlfn.AGGREGATE(15,3,ROW($AZ$28:$AZ$78)-ROW($AN$27)/($AW$28:$AW$78&lt;&gt;""),ROWS($AN$28:AN50))),"")</f>
        <v/>
      </c>
      <c r="BB50" s="10"/>
      <c r="BC50" s="33"/>
    </row>
    <row r="51" spans="7:55">
      <c r="G51">
        <v>24</v>
      </c>
      <c r="H51" s="10">
        <f t="shared" si="12"/>
        <v>0</v>
      </c>
      <c r="I51" s="10">
        <f>SUM($H$28:H51)</f>
        <v>180000</v>
      </c>
      <c r="J51" s="10">
        <f t="shared" si="13"/>
        <v>0</v>
      </c>
      <c r="K51" s="10">
        <f t="shared" si="14"/>
        <v>827864.37855438143</v>
      </c>
      <c r="L51" s="10">
        <f t="shared" si="0"/>
        <v>901544.30824572139</v>
      </c>
      <c r="M51" s="10">
        <f t="shared" si="1"/>
        <v>12525.588047527794</v>
      </c>
      <c r="N51" s="10">
        <f t="shared" si="15"/>
        <v>889018.72019819357</v>
      </c>
      <c r="O51" s="7">
        <f t="shared" si="6"/>
        <v>5334.1123211891618</v>
      </c>
      <c r="P51" s="10">
        <f t="shared" si="7"/>
        <v>883684.60787700443</v>
      </c>
      <c r="U51">
        <v>24</v>
      </c>
      <c r="V51" s="10">
        <f t="shared" si="8"/>
        <v>0</v>
      </c>
      <c r="W51" s="10">
        <f t="shared" si="16"/>
        <v>0</v>
      </c>
      <c r="X51" s="10">
        <f t="shared" si="17"/>
        <v>934851.67772292311</v>
      </c>
      <c r="Y51" s="94">
        <f t="shared" si="18"/>
        <v>18697.033554458463</v>
      </c>
      <c r="Z51" s="94">
        <f t="shared" si="19"/>
        <v>5048.1990597037857</v>
      </c>
      <c r="AA51" s="95">
        <f t="shared" si="20"/>
        <v>0</v>
      </c>
      <c r="AB51" s="94">
        <f t="shared" si="21"/>
        <v>1009265.8712696678</v>
      </c>
      <c r="AC51" s="10">
        <f t="shared" si="22"/>
        <v>74414.193546744646</v>
      </c>
      <c r="AD51" s="10">
        <f>SUM($AC$28:AC51)</f>
        <v>829265.87126966775</v>
      </c>
      <c r="AE51" s="94">
        <f t="shared" si="9"/>
        <v>1009.2658712696677</v>
      </c>
      <c r="AF51" s="94">
        <f t="shared" si="2"/>
        <v>10206.800940296214</v>
      </c>
      <c r="AG51" s="95">
        <f t="shared" si="24"/>
        <v>332414.42002613301</v>
      </c>
      <c r="AH51" s="10">
        <f t="shared" si="23"/>
        <v>665635.38443196891</v>
      </c>
      <c r="AO51" s="91"/>
      <c r="AP51" s="10"/>
      <c r="AQ51" s="73" t="str">
        <f t="shared" si="4"/>
        <v/>
      </c>
      <c r="AR51" s="79" t="str" cm="1">
        <f t="array" ref="AR51">IFERROR(INDEX($AQ$28:$AQ$78,_xlfn.AGGREGATE(15,3,ROW($AQ$28:$AQ$78)-ROW($AN$27)/($AQ$28:$AQ$78&lt;&gt;""),ROWS($AN$28:AN51))),"")</f>
        <v/>
      </c>
      <c r="AS51" s="73"/>
      <c r="AT51" s="73" t="str">
        <f t="shared" si="10"/>
        <v/>
      </c>
      <c r="AU51" s="84" t="str" cm="1">
        <f t="array" ref="AU51">IFERROR(INDEX($AT$28:$AT$78,_xlfn.AGGREGATE(15,3,ROW($AT$28:$AT$78)-ROW($AN$27)/($AT$28:$AT$78&lt;&gt;""),ROWS($AN$28:AN51))),"")</f>
        <v/>
      </c>
      <c r="AV51" s="10"/>
      <c r="AW51" s="10" t="str">
        <f t="shared" si="5"/>
        <v/>
      </c>
      <c r="AX51" s="89" t="str" cm="1">
        <f t="array" ref="AX51">IFERROR(INDEX($AW$28:$AW$78,_xlfn.AGGREGATE(15,3,ROW($AW$28:$AW$78)-ROW($AN$27)/($AW$28:$AW$78&lt;&gt;""),ROWS($AN$28:AN51))),"")</f>
        <v/>
      </c>
      <c r="AY51" s="10"/>
      <c r="AZ51" s="10" t="str">
        <f t="shared" si="11"/>
        <v/>
      </c>
      <c r="BA51" s="10" t="str" cm="1">
        <f t="array" ref="BA51">IFERROR(INDEX($AZ$28:$AZ$78,_xlfn.AGGREGATE(15,3,ROW($AZ$28:$AZ$78)-ROW($AN$27)/($AW$28:$AW$78&lt;&gt;""),ROWS($AN$28:AN51))),"")</f>
        <v/>
      </c>
      <c r="BB51" s="10"/>
      <c r="BC51" s="33"/>
    </row>
    <row r="52" spans="7:55">
      <c r="G52">
        <v>25</v>
      </c>
      <c r="H52" s="10">
        <f t="shared" si="12"/>
        <v>0</v>
      </c>
      <c r="I52" s="10">
        <f>SUM($H$28:H52)</f>
        <v>180000</v>
      </c>
      <c r="J52" s="10">
        <f t="shared" si="13"/>
        <v>0</v>
      </c>
      <c r="K52" s="10">
        <f t="shared" si="14"/>
        <v>889018.72019819357</v>
      </c>
      <c r="L52" s="10">
        <f t="shared" si="0"/>
        <v>968141.38629583281</v>
      </c>
      <c r="M52" s="10">
        <f t="shared" si="1"/>
        <v>13450.853236598672</v>
      </c>
      <c r="N52" s="10">
        <f t="shared" si="15"/>
        <v>954690.53305923415</v>
      </c>
      <c r="O52" s="7">
        <f t="shared" si="6"/>
        <v>5728.1431983554057</v>
      </c>
      <c r="P52" s="10">
        <f t="shared" si="7"/>
        <v>948962.3898608787</v>
      </c>
      <c r="U52">
        <v>25</v>
      </c>
      <c r="V52" s="10">
        <f t="shared" si="8"/>
        <v>0</v>
      </c>
      <c r="W52" s="10">
        <f t="shared" si="16"/>
        <v>0</v>
      </c>
      <c r="X52" s="10">
        <f t="shared" si="17"/>
        <v>1009265.8712696678</v>
      </c>
      <c r="Y52" s="94">
        <f t="shared" si="18"/>
        <v>20185.317425393354</v>
      </c>
      <c r="Z52" s="94">
        <f t="shared" si="19"/>
        <v>5450.0357048562055</v>
      </c>
      <c r="AA52" s="95">
        <f t="shared" si="20"/>
        <v>0</v>
      </c>
      <c r="AB52" s="94">
        <f t="shared" si="21"/>
        <v>1089603.4346227334</v>
      </c>
      <c r="AC52" s="10">
        <f t="shared" si="22"/>
        <v>80337.563353065634</v>
      </c>
      <c r="AD52" s="10">
        <f>SUM($AC$28:AC52)</f>
        <v>909603.43462273339</v>
      </c>
      <c r="AE52" s="94">
        <f t="shared" si="9"/>
        <v>1089.6034346227334</v>
      </c>
      <c r="AF52" s="94">
        <f t="shared" si="2"/>
        <v>9804.9642951437945</v>
      </c>
      <c r="AG52" s="95">
        <f t="shared" si="24"/>
        <v>366781.27586021321</v>
      </c>
      <c r="AH52" s="10">
        <f t="shared" si="23"/>
        <v>711927.5910327537</v>
      </c>
      <c r="AO52" s="91"/>
      <c r="AP52" s="10"/>
      <c r="AQ52" s="73" t="str">
        <f t="shared" si="4"/>
        <v/>
      </c>
      <c r="AR52" s="79" t="str" cm="1">
        <f t="array" ref="AR52">IFERROR(INDEX($AQ$28:$AQ$78,_xlfn.AGGREGATE(15,3,ROW($AQ$28:$AQ$78)-ROW($AN$27)/($AQ$28:$AQ$78&lt;&gt;""),ROWS($AN$28:AN52))),"")</f>
        <v/>
      </c>
      <c r="AS52" s="73"/>
      <c r="AT52" s="73" t="str">
        <f t="shared" si="10"/>
        <v/>
      </c>
      <c r="AU52" s="84" t="str" cm="1">
        <f t="array" ref="AU52">IFERROR(INDEX($AT$28:$AT$78,_xlfn.AGGREGATE(15,3,ROW($AT$28:$AT$78)-ROW($AN$27)/($AT$28:$AT$78&lt;&gt;""),ROWS($AN$28:AN52))),"")</f>
        <v/>
      </c>
      <c r="AV52" s="10"/>
      <c r="AW52" s="10" t="str">
        <f t="shared" si="5"/>
        <v/>
      </c>
      <c r="AX52" s="89" t="str" cm="1">
        <f t="array" ref="AX52">IFERROR(INDEX($AW$28:$AW$78,_xlfn.AGGREGATE(15,3,ROW($AW$28:$AW$78)-ROW($AN$27)/($AW$28:$AW$78&lt;&gt;""),ROWS($AN$28:AN52))),"")</f>
        <v/>
      </c>
      <c r="AY52" s="10"/>
      <c r="AZ52" s="10" t="str">
        <f t="shared" si="11"/>
        <v/>
      </c>
      <c r="BA52" s="10" t="str" cm="1">
        <f t="array" ref="BA52">IFERROR(INDEX($AZ$28:$AZ$78,_xlfn.AGGREGATE(15,3,ROW($AZ$28:$AZ$78)-ROW($AN$27)/($AW$28:$AW$78&lt;&gt;""),ROWS($AN$28:AN52))),"")</f>
        <v/>
      </c>
      <c r="BB52" s="10"/>
      <c r="BC52" s="33"/>
    </row>
    <row r="53" spans="7:55">
      <c r="G53">
        <v>26</v>
      </c>
      <c r="H53" s="10">
        <f t="shared" si="12"/>
        <v>0</v>
      </c>
      <c r="I53" s="10">
        <f>SUM($H$28:H53)</f>
        <v>180000</v>
      </c>
      <c r="J53" s="10">
        <f t="shared" si="13"/>
        <v>0</v>
      </c>
      <c r="K53" s="10">
        <f t="shared" si="14"/>
        <v>954690.53305923415</v>
      </c>
      <c r="L53" s="10">
        <f t="shared" si="0"/>
        <v>1039657.9905015059</v>
      </c>
      <c r="M53" s="10">
        <f t="shared" si="1"/>
        <v>14444.4677651862</v>
      </c>
      <c r="N53" s="10">
        <f t="shared" si="15"/>
        <v>1025213.5227363197</v>
      </c>
      <c r="O53" s="7">
        <f t="shared" si="6"/>
        <v>6151.2811364179179</v>
      </c>
      <c r="P53" s="10">
        <f t="shared" si="7"/>
        <v>1019062.2415999018</v>
      </c>
      <c r="U53">
        <v>26</v>
      </c>
      <c r="V53" s="10">
        <f t="shared" si="8"/>
        <v>0</v>
      </c>
      <c r="W53" s="10">
        <f t="shared" si="16"/>
        <v>0</v>
      </c>
      <c r="X53" s="10">
        <f t="shared" si="17"/>
        <v>1089603.4346227334</v>
      </c>
      <c r="Y53" s="94">
        <f t="shared" si="18"/>
        <v>21792.068692454668</v>
      </c>
      <c r="Z53" s="94">
        <f t="shared" si="19"/>
        <v>5883.8585469627606</v>
      </c>
      <c r="AA53" s="95">
        <f t="shared" si="20"/>
        <v>0</v>
      </c>
      <c r="AB53" s="94">
        <f t="shared" si="21"/>
        <v>1176335.8680187028</v>
      </c>
      <c r="AC53" s="10">
        <f t="shared" si="22"/>
        <v>86732.433395969449</v>
      </c>
      <c r="AD53" s="10">
        <f>SUM($AC$28:AC53)</f>
        <v>996335.86801870284</v>
      </c>
      <c r="AE53" s="94">
        <f t="shared" si="9"/>
        <v>1176.335868018703</v>
      </c>
      <c r="AF53" s="94">
        <f t="shared" si="2"/>
        <v>9371.1414530372404</v>
      </c>
      <c r="AG53" s="95">
        <f t="shared" si="24"/>
        <v>403883.73341868614</v>
      </c>
      <c r="AH53" s="10">
        <f t="shared" si="23"/>
        <v>761904.6572789608</v>
      </c>
      <c r="AO53" s="91"/>
      <c r="AP53" s="10"/>
      <c r="AQ53" s="73" t="str">
        <f t="shared" si="4"/>
        <v/>
      </c>
      <c r="AR53" s="79" t="str" cm="1">
        <f t="array" ref="AR53">IFERROR(INDEX($AQ$28:$AQ$78,_xlfn.AGGREGATE(15,3,ROW($AQ$28:$AQ$78)-ROW($AN$27)/($AQ$28:$AQ$78&lt;&gt;""),ROWS($AN$28:AN53))),"")</f>
        <v/>
      </c>
      <c r="AS53" s="73"/>
      <c r="AT53" s="73" t="str">
        <f t="shared" si="10"/>
        <v/>
      </c>
      <c r="AU53" s="84" t="str" cm="1">
        <f t="array" ref="AU53">IFERROR(INDEX($AT$28:$AT$78,_xlfn.AGGREGATE(15,3,ROW($AT$28:$AT$78)-ROW($AN$27)/($AT$28:$AT$78&lt;&gt;""),ROWS($AN$28:AN53))),"")</f>
        <v/>
      </c>
      <c r="AV53" s="10"/>
      <c r="AW53" s="10" t="str">
        <f t="shared" si="5"/>
        <v/>
      </c>
      <c r="AX53" s="89" t="str" cm="1">
        <f t="array" ref="AX53">IFERROR(INDEX($AW$28:$AW$78,_xlfn.AGGREGATE(15,3,ROW($AW$28:$AW$78)-ROW($AN$27)/($AW$28:$AW$78&lt;&gt;""),ROWS($AN$28:AN53))),"")</f>
        <v/>
      </c>
      <c r="AY53" s="10"/>
      <c r="AZ53" s="10" t="str">
        <f t="shared" si="11"/>
        <v/>
      </c>
      <c r="BA53" s="10" t="str" cm="1">
        <f t="array" ref="BA53">IFERROR(INDEX($AZ$28:$AZ$78,_xlfn.AGGREGATE(15,3,ROW($AZ$28:$AZ$78)-ROW($AN$27)/($AW$28:$AW$78&lt;&gt;""),ROWS($AN$28:AN53))),"")</f>
        <v/>
      </c>
      <c r="BB53" s="10"/>
      <c r="BC53" s="33"/>
    </row>
    <row r="54" spans="7:55">
      <c r="G54">
        <v>27</v>
      </c>
      <c r="H54" s="10">
        <f t="shared" si="12"/>
        <v>0</v>
      </c>
      <c r="I54" s="10">
        <f>SUM($H$28:H54)</f>
        <v>180000</v>
      </c>
      <c r="J54" s="10">
        <f t="shared" si="13"/>
        <v>0</v>
      </c>
      <c r="K54" s="10">
        <f t="shared" si="14"/>
        <v>1025213.5227363197</v>
      </c>
      <c r="L54" s="10">
        <f t="shared" si="0"/>
        <v>1116457.5262598521</v>
      </c>
      <c r="M54" s="10">
        <f t="shared" si="1"/>
        <v>15511.480599000512</v>
      </c>
      <c r="N54" s="10">
        <f t="shared" si="15"/>
        <v>1100946.0456608515</v>
      </c>
      <c r="O54" s="7">
        <f t="shared" si="6"/>
        <v>6605.6762739651094</v>
      </c>
      <c r="P54" s="10">
        <f t="shared" si="7"/>
        <v>1094340.3693868865</v>
      </c>
      <c r="U54">
        <v>27</v>
      </c>
      <c r="V54" s="10">
        <f t="shared" si="8"/>
        <v>0</v>
      </c>
      <c r="W54" s="10">
        <f t="shared" si="16"/>
        <v>0</v>
      </c>
      <c r="X54" s="10">
        <f t="shared" si="17"/>
        <v>1176335.8680187028</v>
      </c>
      <c r="Y54" s="94">
        <f t="shared" si="18"/>
        <v>23526.717360374056</v>
      </c>
      <c r="Z54" s="94">
        <f>IF(Y54&gt;=$V$25,$V$25*$V$23,Y54*$V$23)</f>
        <v>6352.2136873009958</v>
      </c>
      <c r="AA54" s="95">
        <f t="shared" si="20"/>
        <v>0</v>
      </c>
      <c r="AB54" s="94">
        <f t="shared" si="21"/>
        <v>1269972.2031129915</v>
      </c>
      <c r="AC54" s="10">
        <f t="shared" si="22"/>
        <v>93636.33509428869</v>
      </c>
      <c r="AD54" s="10">
        <f>SUM($AC$28:AC54)</f>
        <v>1089972.2031129915</v>
      </c>
      <c r="AE54" s="94">
        <f t="shared" si="9"/>
        <v>1269.9722031129916</v>
      </c>
      <c r="AF54" s="94">
        <f t="shared" si="2"/>
        <v>8902.7863126990069</v>
      </c>
      <c r="AG54" s="95">
        <f t="shared" si="24"/>
        <v>443939.54659881355</v>
      </c>
      <c r="AH54" s="10">
        <f t="shared" si="23"/>
        <v>815859.89799836604</v>
      </c>
      <c r="AO54" s="91"/>
      <c r="AP54" s="10"/>
      <c r="AQ54" s="73" t="str">
        <f t="shared" si="4"/>
        <v/>
      </c>
      <c r="AR54" s="79" t="str" cm="1">
        <f t="array" ref="AR54">IFERROR(INDEX($AQ$28:$AQ$78,_xlfn.AGGREGATE(15,3,ROW($AQ$28:$AQ$78)-ROW($AN$27)/($AQ$28:$AQ$78&lt;&gt;""),ROWS($AN$28:AN54))),"")</f>
        <v/>
      </c>
      <c r="AS54" s="73"/>
      <c r="AT54" s="73" t="str">
        <f t="shared" si="10"/>
        <v/>
      </c>
      <c r="AU54" s="84" t="str" cm="1">
        <f t="array" ref="AU54">IFERROR(INDEX($AT$28:$AT$78,_xlfn.AGGREGATE(15,3,ROW($AT$28:$AT$78)-ROW($AN$27)/($AT$28:$AT$78&lt;&gt;""),ROWS($AN$28:AN54))),"")</f>
        <v/>
      </c>
      <c r="AV54" s="10"/>
      <c r="AW54" s="10" t="str">
        <f t="shared" si="5"/>
        <v/>
      </c>
      <c r="AX54" s="89" t="str" cm="1">
        <f t="array" ref="AX54">IFERROR(INDEX($AW$28:$AW$78,_xlfn.AGGREGATE(15,3,ROW($AW$28:$AW$78)-ROW($AN$27)/($AW$28:$AW$78&lt;&gt;""),ROWS($AN$28:AN54))),"")</f>
        <v/>
      </c>
      <c r="AY54" s="10"/>
      <c r="AZ54" s="10" t="str">
        <f t="shared" si="11"/>
        <v/>
      </c>
      <c r="BA54" s="10" t="str" cm="1">
        <f t="array" ref="BA54">IFERROR(INDEX($AZ$28:$AZ$78,_xlfn.AGGREGATE(15,3,ROW($AZ$28:$AZ$78)-ROW($AN$27)/($AW$28:$AW$78&lt;&gt;""),ROWS($AN$28:AN54))),"")</f>
        <v/>
      </c>
      <c r="BB54" s="10"/>
      <c r="BC54" s="33"/>
    </row>
    <row r="55" spans="7:55">
      <c r="G55">
        <v>28</v>
      </c>
      <c r="H55" s="10">
        <f t="shared" si="12"/>
        <v>0</v>
      </c>
      <c r="I55" s="10">
        <f>SUM($H$28:H55)</f>
        <v>180000</v>
      </c>
      <c r="J55" s="10">
        <f t="shared" si="13"/>
        <v>0</v>
      </c>
      <c r="K55" s="10">
        <f t="shared" si="14"/>
        <v>1100946.0456608515</v>
      </c>
      <c r="L55" s="10">
        <f t="shared" si="0"/>
        <v>1198930.2437246672</v>
      </c>
      <c r="M55" s="10">
        <f t="shared" si="1"/>
        <v>16657.313670848671</v>
      </c>
      <c r="N55" s="10">
        <f t="shared" si="15"/>
        <v>1182272.9300538185</v>
      </c>
      <c r="O55" s="7">
        <f t="shared" si="6"/>
        <v>7093.6375803229112</v>
      </c>
      <c r="P55" s="10">
        <f t="shared" si="7"/>
        <v>1175179.2924734957</v>
      </c>
      <c r="U55">
        <v>28</v>
      </c>
      <c r="V55" s="10">
        <f t="shared" si="8"/>
        <v>0</v>
      </c>
      <c r="W55" s="10">
        <f t="shared" si="16"/>
        <v>0</v>
      </c>
      <c r="X55" s="10">
        <f t="shared" si="17"/>
        <v>1269972.2031129915</v>
      </c>
      <c r="Y55" s="94">
        <f t="shared" si="18"/>
        <v>25399.44406225983</v>
      </c>
      <c r="Z55" s="94">
        <f t="shared" si="19"/>
        <v>6857.8498968101549</v>
      </c>
      <c r="AA55" s="95">
        <f t="shared" si="20"/>
        <v>0</v>
      </c>
      <c r="AB55" s="94">
        <f t="shared" si="21"/>
        <v>1371061.9904807857</v>
      </c>
      <c r="AC55" s="10">
        <f t="shared" si="22"/>
        <v>101089.7873677942</v>
      </c>
      <c r="AD55" s="10">
        <f>SUM($AC$28:AC55)</f>
        <v>1191061.9904807857</v>
      </c>
      <c r="AE55" s="94">
        <f t="shared" si="9"/>
        <v>1371.0619904807857</v>
      </c>
      <c r="AF55" s="94">
        <f t="shared" si="2"/>
        <v>8397.150103189846</v>
      </c>
      <c r="AG55" s="95">
        <f t="shared" si="24"/>
        <v>487183.8025080791</v>
      </c>
      <c r="AH55" s="10">
        <f t="shared" si="23"/>
        <v>874109.97587903601</v>
      </c>
      <c r="AO55" s="91"/>
      <c r="AP55" s="10"/>
      <c r="AQ55" s="73" t="str">
        <f t="shared" si="4"/>
        <v/>
      </c>
      <c r="AR55" s="79" t="str" cm="1">
        <f t="array" ref="AR55">IFERROR(INDEX($AQ$28:$AQ$78,_xlfn.AGGREGATE(15,3,ROW($AQ$28:$AQ$78)-ROW($AN$27)/($AQ$28:$AQ$78&lt;&gt;""),ROWS($AN$28:AN55))),"")</f>
        <v/>
      </c>
      <c r="AS55" s="73"/>
      <c r="AT55" s="73" t="str">
        <f t="shared" si="10"/>
        <v/>
      </c>
      <c r="AU55" s="84" t="str" cm="1">
        <f t="array" ref="AU55">IFERROR(INDEX($AT$28:$AT$78,_xlfn.AGGREGATE(15,3,ROW($AT$28:$AT$78)-ROW($AN$27)/($AT$28:$AT$78&lt;&gt;""),ROWS($AN$28:AN55))),"")</f>
        <v/>
      </c>
      <c r="AV55" s="10"/>
      <c r="AW55" s="10" t="str">
        <f t="shared" si="5"/>
        <v/>
      </c>
      <c r="AX55" s="89" t="str" cm="1">
        <f t="array" ref="AX55">IFERROR(INDEX($AW$28:$AW$78,_xlfn.AGGREGATE(15,3,ROW($AW$28:$AW$78)-ROW($AN$27)/($AW$28:$AW$78&lt;&gt;""),ROWS($AN$28:AN55))),"")</f>
        <v/>
      </c>
      <c r="AY55" s="10"/>
      <c r="AZ55" s="10" t="str">
        <f t="shared" si="11"/>
        <v/>
      </c>
      <c r="BA55" s="10" t="str" cm="1">
        <f t="array" ref="BA55">IFERROR(INDEX($AZ$28:$AZ$78,_xlfn.AGGREGATE(15,3,ROW($AZ$28:$AZ$78)-ROW($AN$27)/($AW$28:$AW$78&lt;&gt;""),ROWS($AN$28:AN55))),"")</f>
        <v/>
      </c>
      <c r="BB55" s="10"/>
      <c r="BC55" s="33"/>
    </row>
    <row r="56" spans="7:55">
      <c r="G56">
        <v>29</v>
      </c>
      <c r="H56" s="10">
        <f t="shared" si="12"/>
        <v>0</v>
      </c>
      <c r="I56" s="10">
        <f>SUM($H$28:H56)</f>
        <v>180000</v>
      </c>
      <c r="J56" s="10">
        <f t="shared" si="13"/>
        <v>0</v>
      </c>
      <c r="K56" s="10">
        <f t="shared" si="14"/>
        <v>1182272.9300538185</v>
      </c>
      <c r="L56" s="10">
        <f t="shared" si="0"/>
        <v>1287495.2208286084</v>
      </c>
      <c r="M56" s="10">
        <f t="shared" si="1"/>
        <v>17887.789431714278</v>
      </c>
      <c r="N56" s="10">
        <f t="shared" si="15"/>
        <v>1269607.4313968942</v>
      </c>
      <c r="O56" s="7">
        <f t="shared" si="6"/>
        <v>7617.6445883813649</v>
      </c>
      <c r="P56" s="10">
        <f t="shared" si="7"/>
        <v>1261989.7868085129</v>
      </c>
      <c r="U56">
        <v>29</v>
      </c>
      <c r="V56" s="10">
        <f t="shared" si="8"/>
        <v>0</v>
      </c>
      <c r="W56" s="10">
        <f t="shared" si="16"/>
        <v>0</v>
      </c>
      <c r="X56" s="10">
        <f t="shared" si="17"/>
        <v>1371061.9904807857</v>
      </c>
      <c r="Y56" s="94">
        <f t="shared" si="18"/>
        <v>27421.239809615716</v>
      </c>
      <c r="Z56" s="94">
        <f t="shared" si="19"/>
        <v>7403.7347485962437</v>
      </c>
      <c r="AA56" s="95">
        <f t="shared" si="20"/>
        <v>0</v>
      </c>
      <c r="AB56" s="94">
        <f t="shared" si="21"/>
        <v>1480198.5249230561</v>
      </c>
      <c r="AC56" s="10">
        <f t="shared" si="22"/>
        <v>109136.53444227041</v>
      </c>
      <c r="AD56" s="10">
        <f>SUM($AC$28:AC56)</f>
        <v>1300198.5249230561</v>
      </c>
      <c r="AE56" s="94">
        <f t="shared" si="9"/>
        <v>1480.1985249230561</v>
      </c>
      <c r="AF56" s="94">
        <f t="shared" si="2"/>
        <v>7851.2652514037572</v>
      </c>
      <c r="AG56" s="95">
        <f t="shared" si="24"/>
        <v>533870.30118772213</v>
      </c>
      <c r="AH56" s="10">
        <f t="shared" si="23"/>
        <v>936996.75995900726</v>
      </c>
      <c r="AO56" s="91"/>
      <c r="AP56" s="10"/>
      <c r="AQ56" s="73" t="str">
        <f t="shared" si="4"/>
        <v/>
      </c>
      <c r="AR56" s="79" t="str" cm="1">
        <f t="array" ref="AR56">IFERROR(INDEX($AQ$28:$AQ$78,_xlfn.AGGREGATE(15,3,ROW($AQ$28:$AQ$78)-ROW($AN$27)/($AQ$28:$AQ$78&lt;&gt;""),ROWS($AN$28:AN56))),"")</f>
        <v/>
      </c>
      <c r="AS56" s="73"/>
      <c r="AT56" s="73" t="str">
        <f t="shared" si="10"/>
        <v/>
      </c>
      <c r="AU56" s="84" t="str" cm="1">
        <f t="array" ref="AU56">IFERROR(INDEX($AT$28:$AT$78,_xlfn.AGGREGATE(15,3,ROW($AT$28:$AT$78)-ROW($AN$27)/($AT$28:$AT$78&lt;&gt;""),ROWS($AN$28:AN56))),"")</f>
        <v/>
      </c>
      <c r="AV56" s="10"/>
      <c r="AW56" s="10" t="str">
        <f t="shared" si="5"/>
        <v/>
      </c>
      <c r="AX56" s="89" t="str" cm="1">
        <f t="array" ref="AX56">IFERROR(INDEX($AW$28:$AW$78,_xlfn.AGGREGATE(15,3,ROW($AW$28:$AW$78)-ROW($AN$27)/($AW$28:$AW$78&lt;&gt;""),ROWS($AN$28:AN56))),"")</f>
        <v/>
      </c>
      <c r="AY56" s="10"/>
      <c r="AZ56" s="10" t="str">
        <f t="shared" si="11"/>
        <v/>
      </c>
      <c r="BA56" s="10" t="str" cm="1">
        <f t="array" ref="BA56">IFERROR(INDEX($AZ$28:$AZ$78,_xlfn.AGGREGATE(15,3,ROW($AZ$28:$AZ$78)-ROW($AN$27)/($AW$28:$AW$78&lt;&gt;""),ROWS($AN$28:AN56))),"")</f>
        <v/>
      </c>
      <c r="BB56" s="10"/>
      <c r="BC56" s="33"/>
    </row>
    <row r="57" spans="7:55">
      <c r="G57">
        <v>30</v>
      </c>
      <c r="H57" s="10">
        <f t="shared" si="12"/>
        <v>0</v>
      </c>
      <c r="I57" s="10">
        <f>SUM($H$28:H57)</f>
        <v>180000</v>
      </c>
      <c r="J57" s="10">
        <f t="shared" si="13"/>
        <v>0</v>
      </c>
      <c r="K57" s="10">
        <f t="shared" si="14"/>
        <v>1269607.4313968942</v>
      </c>
      <c r="L57" s="10">
        <f t="shared" si="0"/>
        <v>1382602.4927912178</v>
      </c>
      <c r="M57" s="10">
        <f t="shared" si="1"/>
        <v>19209.160437035014</v>
      </c>
      <c r="N57" s="10">
        <f t="shared" si="15"/>
        <v>1363393.3323541828</v>
      </c>
      <c r="O57" s="7">
        <f t="shared" si="6"/>
        <v>8180.3599941250977</v>
      </c>
      <c r="P57" s="10">
        <f t="shared" si="7"/>
        <v>1355212.9723600578</v>
      </c>
      <c r="U57">
        <v>30</v>
      </c>
      <c r="V57" s="10">
        <f t="shared" si="8"/>
        <v>0</v>
      </c>
      <c r="W57" s="10">
        <f t="shared" si="16"/>
        <v>0</v>
      </c>
      <c r="X57" s="10">
        <f t="shared" si="17"/>
        <v>1480198.5249230561</v>
      </c>
      <c r="Y57" s="94">
        <f t="shared" si="18"/>
        <v>29603.970498461123</v>
      </c>
      <c r="Z57" s="94">
        <f t="shared" si="19"/>
        <v>7993.0720345845039</v>
      </c>
      <c r="AA57" s="95">
        <f t="shared" si="20"/>
        <v>0</v>
      </c>
      <c r="AB57" s="94">
        <f t="shared" si="21"/>
        <v>1598022.3275069315</v>
      </c>
      <c r="AC57" s="10">
        <f t="shared" si="22"/>
        <v>117823.80258387537</v>
      </c>
      <c r="AD57" s="10">
        <f>SUM($AC$28:AC57)</f>
        <v>1418022.3275069315</v>
      </c>
      <c r="AE57" s="94">
        <f t="shared" si="9"/>
        <v>1598.0223275069316</v>
      </c>
      <c r="AF57" s="94">
        <f t="shared" si="2"/>
        <v>7261.9279654154971</v>
      </c>
      <c r="AG57" s="95">
        <f t="shared" si="24"/>
        <v>584273.04516226484</v>
      </c>
      <c r="AH57" s="10">
        <f t="shared" si="23"/>
        <v>1004889.3320517443</v>
      </c>
      <c r="AO57" s="91"/>
      <c r="AP57" s="10"/>
      <c r="AQ57" s="73" t="str">
        <f t="shared" si="4"/>
        <v/>
      </c>
      <c r="AR57" s="79" t="str" cm="1">
        <f t="array" ref="AR57">IFERROR(INDEX($AQ$28:$AQ$78,_xlfn.AGGREGATE(15,3,ROW($AQ$28:$AQ$78)-ROW($AN$27)/($AQ$28:$AQ$78&lt;&gt;""),ROWS($AN$28:AN57))),"")</f>
        <v/>
      </c>
      <c r="AS57" s="73"/>
      <c r="AT57" s="73" t="str">
        <f t="shared" si="10"/>
        <v/>
      </c>
      <c r="AU57" s="84" t="str" cm="1">
        <f t="array" ref="AU57">IFERROR(INDEX($AT$28:$AT$78,_xlfn.AGGREGATE(15,3,ROW($AT$28:$AT$78)-ROW($AN$27)/($AT$28:$AT$78&lt;&gt;""),ROWS($AN$28:AN57))),"")</f>
        <v/>
      </c>
      <c r="AV57" s="10"/>
      <c r="AW57" s="10" t="str">
        <f t="shared" si="5"/>
        <v/>
      </c>
      <c r="AX57" s="89" t="str" cm="1">
        <f t="array" ref="AX57">IFERROR(INDEX($AW$28:$AW$78,_xlfn.AGGREGATE(15,3,ROW($AW$28:$AW$78)-ROW($AN$27)/($AW$28:$AW$78&lt;&gt;""),ROWS($AN$28:AN57))),"")</f>
        <v/>
      </c>
      <c r="AY57" s="10"/>
      <c r="AZ57" s="10" t="str">
        <f t="shared" si="11"/>
        <v/>
      </c>
      <c r="BA57" s="10" t="str" cm="1">
        <f t="array" ref="BA57">IFERROR(INDEX($AZ$28:$AZ$78,_xlfn.AGGREGATE(15,3,ROW($AZ$28:$AZ$78)-ROW($AN$27)/($AW$28:$AW$78&lt;&gt;""),ROWS($AN$28:AN57))),"")</f>
        <v/>
      </c>
      <c r="BB57" s="10"/>
      <c r="BC57" s="33"/>
    </row>
    <row r="58" spans="7:55">
      <c r="G58">
        <v>31</v>
      </c>
      <c r="H58" s="10">
        <f t="shared" si="12"/>
        <v>0</v>
      </c>
      <c r="I58" s="10">
        <f>SUM($H$28:H58)</f>
        <v>180000</v>
      </c>
      <c r="J58" s="10">
        <f t="shared" si="13"/>
        <v>0</v>
      </c>
      <c r="K58" s="10">
        <f t="shared" si="14"/>
        <v>1363393.3323541828</v>
      </c>
      <c r="L58" s="10">
        <f t="shared" si="0"/>
        <v>1484735.3389337051</v>
      </c>
      <c r="M58" s="10">
        <f t="shared" si="1"/>
        <v>20628.14111851879</v>
      </c>
      <c r="N58" s="10">
        <f t="shared" si="15"/>
        <v>1464107.1978151863</v>
      </c>
      <c r="O58" s="7">
        <f t="shared" si="6"/>
        <v>8784.6431868911186</v>
      </c>
      <c r="P58" s="10">
        <f t="shared" si="7"/>
        <v>1455322.5546282951</v>
      </c>
      <c r="U58">
        <v>31</v>
      </c>
      <c r="V58" s="10">
        <f t="shared" si="8"/>
        <v>0</v>
      </c>
      <c r="W58" s="10">
        <f t="shared" si="16"/>
        <v>0</v>
      </c>
      <c r="X58" s="10">
        <f t="shared" si="17"/>
        <v>1598022.3275069315</v>
      </c>
      <c r="Y58" s="94">
        <f t="shared" si="18"/>
        <v>31960.446550138629</v>
      </c>
      <c r="Z58" s="94">
        <f t="shared" si="19"/>
        <v>8629.3205685374305</v>
      </c>
      <c r="AA58" s="95">
        <f t="shared" si="20"/>
        <v>0</v>
      </c>
      <c r="AB58" s="94">
        <f t="shared" si="21"/>
        <v>1725224.9047764831</v>
      </c>
      <c r="AC58" s="10">
        <f t="shared" si="22"/>
        <v>127202.57726955158</v>
      </c>
      <c r="AD58" s="10">
        <f>SUM($AC$28:AC58)</f>
        <v>1545224.9047764831</v>
      </c>
      <c r="AE58" s="94">
        <f t="shared" si="9"/>
        <v>1725.2249047764831</v>
      </c>
      <c r="AF58" s="94">
        <f t="shared" si="2"/>
        <v>6625.6794314625704</v>
      </c>
      <c r="AG58" s="95">
        <f t="shared" si="24"/>
        <v>638687.84755718103</v>
      </c>
      <c r="AH58" s="10">
        <f t="shared" si="23"/>
        <v>1078186.1528830628</v>
      </c>
      <c r="AO58" s="91"/>
      <c r="AP58" s="10"/>
      <c r="AQ58" s="73" t="str">
        <f t="shared" si="4"/>
        <v/>
      </c>
      <c r="AR58" s="79" t="str" cm="1">
        <f t="array" ref="AR58">IFERROR(INDEX($AQ$28:$AQ$78,_xlfn.AGGREGATE(15,3,ROW($AQ$28:$AQ$78)-ROW($AN$27)/($AQ$28:$AQ$78&lt;&gt;""),ROWS($AN$28:AN58))),"")</f>
        <v/>
      </c>
      <c r="AS58" s="73"/>
      <c r="AT58" s="73" t="str">
        <f t="shared" si="10"/>
        <v/>
      </c>
      <c r="AU58" s="84" t="str" cm="1">
        <f t="array" ref="AU58">IFERROR(INDEX($AT$28:$AT$78,_xlfn.AGGREGATE(15,3,ROW($AT$28:$AT$78)-ROW($AN$27)/($AT$28:$AT$78&lt;&gt;""),ROWS($AN$28:AN58))),"")</f>
        <v/>
      </c>
      <c r="AV58" s="10"/>
      <c r="AW58" s="10" t="str">
        <f t="shared" si="5"/>
        <v/>
      </c>
      <c r="AX58" s="89" t="str" cm="1">
        <f t="array" ref="AX58">IFERROR(INDEX($AW$28:$AW$78,_xlfn.AGGREGATE(15,3,ROW($AW$28:$AW$78)-ROW($AN$27)/($AW$28:$AW$78&lt;&gt;""),ROWS($AN$28:AN58))),"")</f>
        <v/>
      </c>
      <c r="AY58" s="10"/>
      <c r="AZ58" s="10" t="str">
        <f t="shared" si="11"/>
        <v/>
      </c>
      <c r="BA58" s="10" t="str" cm="1">
        <f t="array" ref="BA58">IFERROR(INDEX($AZ$28:$AZ$78,_xlfn.AGGREGATE(15,3,ROW($AZ$28:$AZ$78)-ROW($AN$27)/($AW$28:$AW$78&lt;&gt;""),ROWS($AN$28:AN58))),"")</f>
        <v/>
      </c>
      <c r="BB58" s="10"/>
      <c r="BC58" s="33"/>
    </row>
    <row r="59" spans="7:55">
      <c r="G59">
        <v>32</v>
      </c>
      <c r="H59" s="10">
        <f t="shared" si="12"/>
        <v>0</v>
      </c>
      <c r="I59" s="10">
        <f>SUM($H$28:H59)</f>
        <v>180000</v>
      </c>
      <c r="J59" s="10">
        <f t="shared" si="13"/>
        <v>0</v>
      </c>
      <c r="K59" s="10">
        <f t="shared" si="14"/>
        <v>1464107.1978151863</v>
      </c>
      <c r="L59" s="10">
        <f t="shared" si="0"/>
        <v>1594412.7384207379</v>
      </c>
      <c r="M59" s="10">
        <f t="shared" si="1"/>
        <v>22151.941902943767</v>
      </c>
      <c r="N59" s="10">
        <f t="shared" si="15"/>
        <v>1572260.7965177943</v>
      </c>
      <c r="O59" s="7">
        <f t="shared" si="6"/>
        <v>9433.5647791067659</v>
      </c>
      <c r="P59" s="10">
        <f t="shared" si="7"/>
        <v>1562827.2317386875</v>
      </c>
      <c r="U59">
        <v>32</v>
      </c>
      <c r="V59" s="10">
        <f t="shared" si="8"/>
        <v>0</v>
      </c>
      <c r="W59" s="10">
        <f t="shared" si="16"/>
        <v>0</v>
      </c>
      <c r="X59" s="10">
        <f t="shared" si="17"/>
        <v>1725224.9047764831</v>
      </c>
      <c r="Y59" s="94">
        <f t="shared" si="18"/>
        <v>34504.498095529663</v>
      </c>
      <c r="Z59" s="94">
        <f t="shared" si="19"/>
        <v>9316.2144857930089</v>
      </c>
      <c r="AA59" s="95">
        <f t="shared" si="20"/>
        <v>0</v>
      </c>
      <c r="AB59" s="94">
        <f t="shared" si="21"/>
        <v>1862552.8071966912</v>
      </c>
      <c r="AC59" s="10">
        <f t="shared" si="22"/>
        <v>137327.90242020809</v>
      </c>
      <c r="AD59" s="10">
        <f>SUM($AC$28:AC59)</f>
        <v>1682552.8071966912</v>
      </c>
      <c r="AE59" s="94">
        <f t="shared" si="9"/>
        <v>1862.5528071966912</v>
      </c>
      <c r="AF59" s="94">
        <f t="shared" si="2"/>
        <v>5938.7855142069911</v>
      </c>
      <c r="AG59" s="95">
        <f t="shared" si="24"/>
        <v>697434.06822273275</v>
      </c>
      <c r="AH59" s="10">
        <f t="shared" si="23"/>
        <v>1157317.4006525546</v>
      </c>
      <c r="AO59" s="91"/>
      <c r="AP59" s="10"/>
      <c r="AQ59" s="73" t="str">
        <f t="shared" si="4"/>
        <v/>
      </c>
      <c r="AR59" s="79" t="str" cm="1">
        <f t="array" ref="AR59">IFERROR(INDEX($AQ$28:$AQ$78,_xlfn.AGGREGATE(15,3,ROW($AQ$28:$AQ$78)-ROW($AN$27)/($AQ$28:$AQ$78&lt;&gt;""),ROWS($AN$28:AN59))),"")</f>
        <v/>
      </c>
      <c r="AS59" s="73"/>
      <c r="AT59" s="73" t="str">
        <f t="shared" si="10"/>
        <v/>
      </c>
      <c r="AU59" s="84" t="str" cm="1">
        <f t="array" ref="AU59">IFERROR(INDEX($AT$28:$AT$78,_xlfn.AGGREGATE(15,3,ROW($AT$28:$AT$78)-ROW($AN$27)/($AT$28:$AT$78&lt;&gt;""),ROWS($AN$28:AN59))),"")</f>
        <v/>
      </c>
      <c r="AV59" s="10"/>
      <c r="AW59" s="10" t="str">
        <f t="shared" si="5"/>
        <v/>
      </c>
      <c r="AX59" s="89" t="str" cm="1">
        <f t="array" ref="AX59">IFERROR(INDEX($AW$28:$AW$78,_xlfn.AGGREGATE(15,3,ROW($AW$28:$AW$78)-ROW($AN$27)/($AW$28:$AW$78&lt;&gt;""),ROWS($AN$28:AN59))),"")</f>
        <v/>
      </c>
      <c r="AY59" s="10"/>
      <c r="AZ59" s="10" t="str">
        <f t="shared" si="11"/>
        <v/>
      </c>
      <c r="BA59" s="10" t="str" cm="1">
        <f t="array" ref="BA59">IFERROR(INDEX($AZ$28:$AZ$78,_xlfn.AGGREGATE(15,3,ROW($AZ$28:$AZ$78)-ROW($AN$27)/($AW$28:$AW$78&lt;&gt;""),ROWS($AN$28:AN59))),"")</f>
        <v/>
      </c>
      <c r="BB59" s="10"/>
      <c r="BC59" s="33"/>
    </row>
    <row r="60" spans="7:55">
      <c r="G60">
        <v>33</v>
      </c>
      <c r="H60" s="10">
        <f t="shared" si="12"/>
        <v>0</v>
      </c>
      <c r="I60" s="10">
        <f>SUM($H$28:H60)</f>
        <v>180000</v>
      </c>
      <c r="J60" s="10">
        <f t="shared" si="13"/>
        <v>0</v>
      </c>
      <c r="K60" s="10">
        <f t="shared" si="14"/>
        <v>1572260.7965177943</v>
      </c>
      <c r="L60" s="10">
        <f t="shared" ref="L60:L78" si="25">(K60*($H$15-$H$21+1)^($G$28))</f>
        <v>1712192.0074078778</v>
      </c>
      <c r="M60" s="10">
        <f t="shared" ref="M60:M78" si="26">(L60-K60)*$H$23</f>
        <v>23788.30585131421</v>
      </c>
      <c r="N60" s="10">
        <f t="shared" si="15"/>
        <v>1688403.7015565636</v>
      </c>
      <c r="O60" s="7">
        <f t="shared" si="6"/>
        <v>10130.42220933938</v>
      </c>
      <c r="P60" s="10">
        <f t="shared" si="7"/>
        <v>1678273.2793472242</v>
      </c>
      <c r="U60">
        <v>33</v>
      </c>
      <c r="V60" s="10">
        <f t="shared" si="8"/>
        <v>0</v>
      </c>
      <c r="W60" s="10">
        <f t="shared" si="16"/>
        <v>0</v>
      </c>
      <c r="X60" s="10">
        <f t="shared" si="17"/>
        <v>1862552.8071966912</v>
      </c>
      <c r="Y60" s="94">
        <f t="shared" si="18"/>
        <v>37251.056143933827</v>
      </c>
      <c r="Z60" s="94">
        <f t="shared" si="19"/>
        <v>10057.785158862134</v>
      </c>
      <c r="AA60" s="95">
        <f t="shared" si="20"/>
        <v>0</v>
      </c>
      <c r="AB60" s="94">
        <f t="shared" si="21"/>
        <v>2010812.0106495477</v>
      </c>
      <c r="AC60" s="10">
        <f t="shared" si="22"/>
        <v>148259.20345285651</v>
      </c>
      <c r="AD60" s="10">
        <f>SUM($AC$28:AC60)</f>
        <v>1830812.0106495477</v>
      </c>
      <c r="AE60" s="94">
        <f t="shared" si="9"/>
        <v>2010.8120106495478</v>
      </c>
      <c r="AF60" s="94">
        <f t="shared" si="2"/>
        <v>5197.2148411378666</v>
      </c>
      <c r="AG60" s="95">
        <f t="shared" si="24"/>
        <v>760856.48805326223</v>
      </c>
      <c r="AH60" s="10">
        <f t="shared" si="23"/>
        <v>1242747.495744498</v>
      </c>
      <c r="AO60" s="91"/>
      <c r="AP60" s="10"/>
      <c r="AQ60" s="73" t="str">
        <f t="shared" ref="AQ60:AQ78" si="27">IF(AND(ISBLANK(AP60),ISBLANK(AP59)),"",IF(ISBLANK(AP60),$B$30,AP60))</f>
        <v/>
      </c>
      <c r="AR60" s="79" t="str" cm="1">
        <f t="array" ref="AR60">IFERROR(INDEX($AQ$28:$AQ$78,_xlfn.AGGREGATE(15,3,ROW($AQ$28:$AQ$78)-ROW($AN$27)/($AQ$28:$AQ$78&lt;&gt;""),ROWS($AN$28:AN60))),"")</f>
        <v/>
      </c>
      <c r="AS60" s="73"/>
      <c r="AT60" s="73" t="str">
        <f t="shared" si="10"/>
        <v/>
      </c>
      <c r="AU60" s="84" t="str" cm="1">
        <f t="array" ref="AU60">IFERROR(INDEX($AT$28:$AT$78,_xlfn.AGGREGATE(15,3,ROW($AT$28:$AT$78)-ROW($AN$27)/($AT$28:$AT$78&lt;&gt;""),ROWS($AN$28:AN60))),"")</f>
        <v/>
      </c>
      <c r="AV60" s="10"/>
      <c r="AW60" s="10" t="str">
        <f t="shared" ref="AW60:AW91" si="28">IF(AND(ISBLANK(AV60),ISBLANK(AV59)),"",IF(ISBLANK(AV60),$B$32,AV60))</f>
        <v/>
      </c>
      <c r="AX60" s="89" t="str" cm="1">
        <f t="array" ref="AX60">IFERROR(INDEX($AW$28:$AW$78,_xlfn.AGGREGATE(15,3,ROW($AW$28:$AW$78)-ROW($AN$27)/($AW$28:$AW$78&lt;&gt;""),ROWS($AN$28:AN60))),"")</f>
        <v/>
      </c>
      <c r="AY60" s="10"/>
      <c r="AZ60" s="10" t="str">
        <f t="shared" si="11"/>
        <v/>
      </c>
      <c r="BA60" s="10" t="str" cm="1">
        <f t="array" ref="BA60">IFERROR(INDEX($AZ$28:$AZ$78,_xlfn.AGGREGATE(15,3,ROW($AZ$28:$AZ$78)-ROW($AN$27)/($AW$28:$AW$78&lt;&gt;""),ROWS($AN$28:AN60))),"")</f>
        <v/>
      </c>
      <c r="BB60" s="10"/>
      <c r="BC60" s="33"/>
    </row>
    <row r="61" spans="7:55">
      <c r="G61">
        <v>34</v>
      </c>
      <c r="H61" s="10">
        <f t="shared" si="12"/>
        <v>0</v>
      </c>
      <c r="I61" s="10">
        <f>SUM($H$28:H61)</f>
        <v>180000</v>
      </c>
      <c r="J61" s="10">
        <f t="shared" si="13"/>
        <v>0</v>
      </c>
      <c r="K61" s="10">
        <f t="shared" ref="K61:K78" si="29">N60+J61</f>
        <v>1688403.7015565636</v>
      </c>
      <c r="L61" s="10">
        <f t="shared" si="25"/>
        <v>1838671.6309950978</v>
      </c>
      <c r="M61" s="10">
        <f t="shared" si="26"/>
        <v>25545.548004550816</v>
      </c>
      <c r="N61" s="10">
        <f t="shared" si="15"/>
        <v>1813126.0829905469</v>
      </c>
      <c r="O61" s="7">
        <f t="shared" si="6"/>
        <v>10878.756497943283</v>
      </c>
      <c r="P61" s="10">
        <f t="shared" si="7"/>
        <v>1802247.3264926036</v>
      </c>
      <c r="U61">
        <v>34</v>
      </c>
      <c r="V61" s="10">
        <f t="shared" si="8"/>
        <v>0</v>
      </c>
      <c r="W61" s="10">
        <f t="shared" si="16"/>
        <v>0</v>
      </c>
      <c r="X61" s="10">
        <f t="shared" si="17"/>
        <v>2010812.0106495477</v>
      </c>
      <c r="Y61" s="94">
        <f t="shared" si="18"/>
        <v>40216.240212990953</v>
      </c>
      <c r="Z61" s="94">
        <f t="shared" si="19"/>
        <v>10858.384857507559</v>
      </c>
      <c r="AA61" s="95">
        <f t="shared" si="20"/>
        <v>0</v>
      </c>
      <c r="AB61" s="94">
        <f t="shared" si="21"/>
        <v>2170872.6466972516</v>
      </c>
      <c r="AC61" s="10">
        <f t="shared" si="22"/>
        <v>160060.63604770391</v>
      </c>
      <c r="AD61" s="10">
        <f>SUM($AC$28:AC61)</f>
        <v>1990872.6466972516</v>
      </c>
      <c r="AE61" s="94">
        <f t="shared" si="9"/>
        <v>2170.8726466972516</v>
      </c>
      <c r="AF61" s="94">
        <f t="shared" si="2"/>
        <v>4396.6151424924428</v>
      </c>
      <c r="AG61" s="95">
        <f t="shared" si="24"/>
        <v>829327.33250230178</v>
      </c>
      <c r="AH61" s="10">
        <f t="shared" si="23"/>
        <v>1334977.8264057599</v>
      </c>
      <c r="AO61" s="91"/>
      <c r="AP61" s="10"/>
      <c r="AQ61" s="73" t="str">
        <f t="shared" si="27"/>
        <v/>
      </c>
      <c r="AR61" s="79" t="str" cm="1">
        <f t="array" ref="AR61">IFERROR(INDEX($AQ$28:$AQ$78,_xlfn.AGGREGATE(15,3,ROW($AQ$28:$AQ$78)-ROW($AN$27)/($AQ$28:$AQ$78&lt;&gt;""),ROWS($AN$28:AN61))),"")</f>
        <v/>
      </c>
      <c r="AS61" s="73"/>
      <c r="AT61" s="73" t="str">
        <f t="shared" si="10"/>
        <v/>
      </c>
      <c r="AU61" s="84" t="str" cm="1">
        <f t="array" ref="AU61">IFERROR(INDEX($AT$28:$AT$78,_xlfn.AGGREGATE(15,3,ROW($AT$28:$AT$78)-ROW($AN$27)/($AT$28:$AT$78&lt;&gt;""),ROWS($AN$28:AN61))),"")</f>
        <v/>
      </c>
      <c r="AV61" s="10"/>
      <c r="AW61" s="10" t="str">
        <f t="shared" si="28"/>
        <v/>
      </c>
      <c r="AX61" s="89" t="str" cm="1">
        <f t="array" ref="AX61">IFERROR(INDEX($AW$28:$AW$78,_xlfn.AGGREGATE(15,3,ROW($AW$28:$AW$78)-ROW($AN$27)/($AW$28:$AW$78&lt;&gt;""),ROWS($AN$28:AN61))),"")</f>
        <v/>
      </c>
      <c r="AY61" s="10"/>
      <c r="AZ61" s="10" t="str">
        <f t="shared" si="11"/>
        <v/>
      </c>
      <c r="BA61" s="10" t="str" cm="1">
        <f t="array" ref="BA61">IFERROR(INDEX($AZ$28:$AZ$78,_xlfn.AGGREGATE(15,3,ROW($AZ$28:$AZ$78)-ROW($AN$27)/($AW$28:$AW$78&lt;&gt;""),ROWS($AN$28:AN61))),"")</f>
        <v/>
      </c>
      <c r="BB61" s="10"/>
      <c r="BC61" s="33"/>
    </row>
    <row r="62" spans="7:55">
      <c r="G62">
        <v>35</v>
      </c>
      <c r="H62" s="10">
        <f t="shared" ref="H62:H78" si="30">IF(N61&gt;$H$25,0,12*$H$14)</f>
        <v>0</v>
      </c>
      <c r="I62" s="10">
        <f>SUM($H$28:H62)</f>
        <v>180000</v>
      </c>
      <c r="J62" s="10">
        <f t="shared" si="13"/>
        <v>0</v>
      </c>
      <c r="K62" s="10">
        <f t="shared" si="29"/>
        <v>1813126.0829905469</v>
      </c>
      <c r="L62" s="10">
        <f t="shared" si="25"/>
        <v>1974494.3043767055</v>
      </c>
      <c r="M62" s="10">
        <f t="shared" si="26"/>
        <v>27432.597635646966</v>
      </c>
      <c r="N62" s="10">
        <f t="shared" si="15"/>
        <v>1947061.7067410585</v>
      </c>
      <c r="O62" s="7">
        <f t="shared" si="6"/>
        <v>11682.370240446351</v>
      </c>
      <c r="P62" s="10">
        <f t="shared" si="7"/>
        <v>1935379.3365006121</v>
      </c>
      <c r="U62">
        <v>35</v>
      </c>
      <c r="V62" s="10">
        <f t="shared" si="8"/>
        <v>0</v>
      </c>
      <c r="W62" s="10">
        <f t="shared" si="16"/>
        <v>0</v>
      </c>
      <c r="X62" s="10">
        <f t="shared" si="17"/>
        <v>2170872.6466972516</v>
      </c>
      <c r="Y62" s="94">
        <f t="shared" si="18"/>
        <v>43417.452933945031</v>
      </c>
      <c r="Z62" s="94">
        <f t="shared" si="19"/>
        <v>11722.712292165159</v>
      </c>
      <c r="AA62" s="95">
        <f t="shared" si="20"/>
        <v>0</v>
      </c>
      <c r="AB62" s="94">
        <f t="shared" si="21"/>
        <v>2343674.1093743527</v>
      </c>
      <c r="AC62" s="10">
        <f t="shared" si="22"/>
        <v>172801.46267710114</v>
      </c>
      <c r="AD62" s="10">
        <f>SUM($AC$28:AC62)</f>
        <v>2163674.1093743527</v>
      </c>
      <c r="AE62" s="94">
        <f t="shared" si="9"/>
        <v>2343.6741093743526</v>
      </c>
      <c r="AF62" s="94">
        <f t="shared" si="2"/>
        <v>3532.287707834842</v>
      </c>
      <c r="AG62" s="95">
        <f t="shared" si="24"/>
        <v>903248.45616948511</v>
      </c>
      <c r="AH62" s="10">
        <f t="shared" si="23"/>
        <v>1434549.6913876585</v>
      </c>
      <c r="AO62" s="91"/>
      <c r="AP62" s="10"/>
      <c r="AQ62" s="73" t="str">
        <f t="shared" si="27"/>
        <v/>
      </c>
      <c r="AR62" s="79" t="str" cm="1">
        <f t="array" ref="AR62">IFERROR(INDEX($AQ$28:$AQ$78,_xlfn.AGGREGATE(15,3,ROW($AQ$28:$AQ$78)-ROW($AN$27)/($AQ$28:$AQ$78&lt;&gt;""),ROWS($AN$28:AN62))),"")</f>
        <v/>
      </c>
      <c r="AS62" s="73"/>
      <c r="AT62" s="73" t="str">
        <f t="shared" si="10"/>
        <v/>
      </c>
      <c r="AU62" s="84" t="str" cm="1">
        <f t="array" ref="AU62">IFERROR(INDEX($AT$28:$AT$78,_xlfn.AGGREGATE(15,3,ROW($AT$28:$AT$78)-ROW($AN$27)/($AT$28:$AT$78&lt;&gt;""),ROWS($AN$28:AN62))),"")</f>
        <v/>
      </c>
      <c r="AV62" s="10"/>
      <c r="AW62" s="10" t="str">
        <f t="shared" si="28"/>
        <v/>
      </c>
      <c r="AX62" s="89" t="str" cm="1">
        <f t="array" ref="AX62">IFERROR(INDEX($AW$28:$AW$78,_xlfn.AGGREGATE(15,3,ROW($AW$28:$AW$78)-ROW($AN$27)/($AW$28:$AW$78&lt;&gt;""),ROWS($AN$28:AN62))),"")</f>
        <v/>
      </c>
      <c r="AY62" s="10"/>
      <c r="AZ62" s="10" t="str">
        <f t="shared" si="11"/>
        <v/>
      </c>
      <c r="BA62" s="10" t="str" cm="1">
        <f t="array" ref="BA62">IFERROR(INDEX($AZ$28:$AZ$78,_xlfn.AGGREGATE(15,3,ROW($AZ$28:$AZ$78)-ROW($AN$27)/($AW$28:$AW$78&lt;&gt;""),ROWS($AN$28:AN62))),"")</f>
        <v/>
      </c>
      <c r="BB62" s="10"/>
      <c r="BC62" s="33"/>
    </row>
    <row r="63" spans="7:55">
      <c r="G63">
        <v>36</v>
      </c>
      <c r="H63" s="10">
        <f t="shared" si="30"/>
        <v>0</v>
      </c>
      <c r="I63" s="10">
        <f>SUM($H$28:H63)</f>
        <v>180000</v>
      </c>
      <c r="J63" s="10">
        <f t="shared" si="13"/>
        <v>0</v>
      </c>
      <c r="K63" s="10">
        <f t="shared" si="29"/>
        <v>1947061.7067410585</v>
      </c>
      <c r="L63" s="10">
        <f t="shared" si="25"/>
        <v>2120350.1986410124</v>
      </c>
      <c r="M63" s="10">
        <f t="shared" si="26"/>
        <v>29459.043622992169</v>
      </c>
      <c r="N63" s="10">
        <f t="shared" si="15"/>
        <v>2090891.1550180202</v>
      </c>
      <c r="O63" s="7">
        <f t="shared" si="6"/>
        <v>12545.34693010812</v>
      </c>
      <c r="P63" s="10">
        <f t="shared" si="7"/>
        <v>2078345.8080879122</v>
      </c>
      <c r="U63">
        <v>36</v>
      </c>
      <c r="V63" s="10">
        <f t="shared" si="8"/>
        <v>0</v>
      </c>
      <c r="W63" s="10">
        <f t="shared" si="16"/>
        <v>0</v>
      </c>
      <c r="X63" s="10">
        <f t="shared" si="17"/>
        <v>2343674.1093743527</v>
      </c>
      <c r="Y63" s="94">
        <f t="shared" si="18"/>
        <v>46873.482187487054</v>
      </c>
      <c r="Z63" s="94">
        <f t="shared" si="19"/>
        <v>12655.840190621506</v>
      </c>
      <c r="AA63" s="95">
        <f t="shared" si="20"/>
        <v>0</v>
      </c>
      <c r="AB63" s="94">
        <f t="shared" si="21"/>
        <v>2530230.5684805512</v>
      </c>
      <c r="AC63" s="10">
        <f t="shared" si="22"/>
        <v>186556.45910619851</v>
      </c>
      <c r="AD63" s="10">
        <f>SUM($AC$28:AC63)</f>
        <v>2350230.5684805512</v>
      </c>
      <c r="AE63" s="94">
        <f t="shared" si="9"/>
        <v>2530.2305684805515</v>
      </c>
      <c r="AF63" s="94">
        <f t="shared" si="2"/>
        <v>2599.1598093784955</v>
      </c>
      <c r="AG63" s="95">
        <f t="shared" si="24"/>
        <v>983053.70128057606</v>
      </c>
      <c r="AH63" s="10">
        <f t="shared" si="23"/>
        <v>1542047.4768221159</v>
      </c>
      <c r="AO63" s="91"/>
      <c r="AP63" s="10"/>
      <c r="AQ63" s="73" t="str">
        <f t="shared" si="27"/>
        <v/>
      </c>
      <c r="AR63" s="79" t="str" cm="1">
        <f t="array" ref="AR63">IFERROR(INDEX($AQ$28:$AQ$78,_xlfn.AGGREGATE(15,3,ROW($AQ$28:$AQ$78)-ROW($AN$27)/($AQ$28:$AQ$78&lt;&gt;""),ROWS($AN$28:AN63))),"")</f>
        <v/>
      </c>
      <c r="AS63" s="73"/>
      <c r="AT63" s="73" t="str">
        <f t="shared" si="10"/>
        <v/>
      </c>
      <c r="AU63" s="84" t="str" cm="1">
        <f t="array" ref="AU63">IFERROR(INDEX($AT$28:$AT$78,_xlfn.AGGREGATE(15,3,ROW($AT$28:$AT$78)-ROW($AN$27)/($AT$28:$AT$78&lt;&gt;""),ROWS($AN$28:AN63))),"")</f>
        <v/>
      </c>
      <c r="AV63" s="10"/>
      <c r="AW63" s="10" t="str">
        <f t="shared" si="28"/>
        <v/>
      </c>
      <c r="AX63" s="89" t="str" cm="1">
        <f t="array" ref="AX63">IFERROR(INDEX($AW$28:$AW$78,_xlfn.AGGREGATE(15,3,ROW($AW$28:$AW$78)-ROW($AN$27)/($AW$28:$AW$78&lt;&gt;""),ROWS($AN$28:AN63))),"")</f>
        <v/>
      </c>
      <c r="AY63" s="10"/>
      <c r="AZ63" s="10" t="str">
        <f t="shared" si="11"/>
        <v/>
      </c>
      <c r="BA63" s="10" t="str" cm="1">
        <f t="array" ref="BA63">IFERROR(INDEX($AZ$28:$AZ$78,_xlfn.AGGREGATE(15,3,ROW($AZ$28:$AZ$78)-ROW($AN$27)/($AW$28:$AW$78&lt;&gt;""),ROWS($AN$28:AN63))),"")</f>
        <v/>
      </c>
      <c r="BB63" s="10"/>
      <c r="BC63" s="33"/>
    </row>
    <row r="64" spans="7:55">
      <c r="G64">
        <v>37</v>
      </c>
      <c r="H64" s="10">
        <f t="shared" si="30"/>
        <v>0</v>
      </c>
      <c r="I64" s="10">
        <f>SUM($H$28:H64)</f>
        <v>180000</v>
      </c>
      <c r="J64" s="10">
        <f t="shared" si="13"/>
        <v>0</v>
      </c>
      <c r="K64" s="10">
        <f t="shared" si="29"/>
        <v>2090891.1550180202</v>
      </c>
      <c r="L64" s="10">
        <f t="shared" si="25"/>
        <v>2276980.4678146238</v>
      </c>
      <c r="M64" s="10">
        <f t="shared" si="26"/>
        <v>31635.183175422622</v>
      </c>
      <c r="N64" s="10">
        <f t="shared" si="15"/>
        <v>2245345.2846392011</v>
      </c>
      <c r="O64" s="7">
        <f t="shared" si="6"/>
        <v>13472.071707835206</v>
      </c>
      <c r="P64" s="10">
        <f t="shared" si="7"/>
        <v>2231873.2129313657</v>
      </c>
      <c r="U64">
        <v>37</v>
      </c>
      <c r="V64" s="10">
        <f t="shared" si="8"/>
        <v>0</v>
      </c>
      <c r="W64" s="10">
        <f t="shared" si="16"/>
        <v>0</v>
      </c>
      <c r="X64" s="10">
        <f t="shared" si="17"/>
        <v>2530230.5684805512</v>
      </c>
      <c r="Y64" s="94">
        <f t="shared" si="18"/>
        <v>50604.611369611026</v>
      </c>
      <c r="Z64" s="94">
        <f t="shared" si="19"/>
        <v>13663.245069794977</v>
      </c>
      <c r="AA64" s="95">
        <f t="shared" si="20"/>
        <v>0</v>
      </c>
      <c r="AB64" s="94">
        <f t="shared" si="21"/>
        <v>2731636.9217316029</v>
      </c>
      <c r="AC64" s="10">
        <f t="shared" si="22"/>
        <v>201406.35325105162</v>
      </c>
      <c r="AD64" s="10">
        <f>SUM($AC$28:AC64)</f>
        <v>2551636.9217316029</v>
      </c>
      <c r="AE64" s="94">
        <f t="shared" si="9"/>
        <v>2731.6369217316028</v>
      </c>
      <c r="AF64" s="94">
        <f t="shared" si="2"/>
        <v>1591.7549302050231</v>
      </c>
      <c r="AG64" s="95">
        <f t="shared" si="24"/>
        <v>1069211.44390251</v>
      </c>
      <c r="AH64" s="10">
        <f t="shared" si="23"/>
        <v>1658102.0859771559</v>
      </c>
      <c r="AO64" s="91"/>
      <c r="AP64" s="10"/>
      <c r="AQ64" s="73" t="str">
        <f t="shared" si="27"/>
        <v/>
      </c>
      <c r="AR64" s="79" t="str" cm="1">
        <f t="array" ref="AR64">IFERROR(INDEX($AQ$28:$AQ$78,_xlfn.AGGREGATE(15,3,ROW($AQ$28:$AQ$78)-ROW($AN$27)/($AQ$28:$AQ$78&lt;&gt;""),ROWS($AN$28:AN64))),"")</f>
        <v/>
      </c>
      <c r="AS64" s="73"/>
      <c r="AT64" s="73" t="str">
        <f t="shared" si="10"/>
        <v/>
      </c>
      <c r="AU64" s="84" t="str" cm="1">
        <f t="array" ref="AU64">IFERROR(INDEX($AT$28:$AT$78,_xlfn.AGGREGATE(15,3,ROW($AT$28:$AT$78)-ROW($AN$27)/($AT$28:$AT$78&lt;&gt;""),ROWS($AN$28:AN64))),"")</f>
        <v/>
      </c>
      <c r="AV64" s="10"/>
      <c r="AW64" s="10" t="str">
        <f t="shared" si="28"/>
        <v/>
      </c>
      <c r="AX64" s="89" t="str" cm="1">
        <f t="array" ref="AX64">IFERROR(INDEX($AW$28:$AW$78,_xlfn.AGGREGATE(15,3,ROW($AW$28:$AW$78)-ROW($AN$27)/($AW$28:$AW$78&lt;&gt;""),ROWS($AN$28:AN64))),"")</f>
        <v/>
      </c>
      <c r="AY64" s="10"/>
      <c r="AZ64" s="10" t="str">
        <f t="shared" si="11"/>
        <v/>
      </c>
      <c r="BA64" s="10" t="str" cm="1">
        <f t="array" ref="BA64">IFERROR(INDEX($AZ$28:$AZ$78,_xlfn.AGGREGATE(15,3,ROW($AZ$28:$AZ$78)-ROW($AN$27)/($AW$28:$AW$78&lt;&gt;""),ROWS($AN$28:AN64))),"")</f>
        <v/>
      </c>
      <c r="BB64" s="10"/>
      <c r="BC64" s="33"/>
    </row>
    <row r="65" spans="7:55">
      <c r="G65">
        <v>38</v>
      </c>
      <c r="H65" s="10">
        <f t="shared" si="30"/>
        <v>0</v>
      </c>
      <c r="I65" s="10">
        <f>SUM($H$28:H65)</f>
        <v>180000</v>
      </c>
      <c r="J65" s="10">
        <f t="shared" si="13"/>
        <v>0</v>
      </c>
      <c r="K65" s="10">
        <f t="shared" si="29"/>
        <v>2245345.2846392011</v>
      </c>
      <c r="L65" s="10">
        <f t="shared" si="25"/>
        <v>2445181.0149720898</v>
      </c>
      <c r="M65" s="10">
        <f t="shared" si="26"/>
        <v>33972.074156591072</v>
      </c>
      <c r="N65" s="10">
        <f t="shared" si="15"/>
        <v>2411208.9408154986</v>
      </c>
      <c r="O65" s="7">
        <f t="shared" si="6"/>
        <v>14467.253644892991</v>
      </c>
      <c r="P65" s="10">
        <f t="shared" si="7"/>
        <v>2396741.6871706056</v>
      </c>
      <c r="U65">
        <v>38</v>
      </c>
      <c r="V65" s="10">
        <f t="shared" si="8"/>
        <v>0</v>
      </c>
      <c r="W65" s="10">
        <f t="shared" si="16"/>
        <v>0</v>
      </c>
      <c r="X65" s="10">
        <f t="shared" si="17"/>
        <v>2731636.9217316029</v>
      </c>
      <c r="Y65" s="94">
        <f t="shared" si="18"/>
        <v>54632.738434632061</v>
      </c>
      <c r="Z65" s="94">
        <f t="shared" si="19"/>
        <v>14750.839377350658</v>
      </c>
      <c r="AA65" s="95">
        <f t="shared" si="20"/>
        <v>0</v>
      </c>
      <c r="AB65" s="94">
        <f t="shared" si="21"/>
        <v>2949075.2207014379</v>
      </c>
      <c r="AC65" s="10">
        <f t="shared" si="22"/>
        <v>217438.29896983504</v>
      </c>
      <c r="AD65" s="10">
        <f>SUM($AC$28:AC65)</f>
        <v>2769075.2207014379</v>
      </c>
      <c r="AE65" s="94">
        <f t="shared" si="9"/>
        <v>2949.075220701438</v>
      </c>
      <c r="AF65" s="94">
        <f t="shared" si="2"/>
        <v>504.16062264934345</v>
      </c>
      <c r="AG65" s="95">
        <f t="shared" si="24"/>
        <v>1162227.3428371493</v>
      </c>
      <c r="AH65" s="10">
        <f t="shared" si="23"/>
        <v>1783394.642020938</v>
      </c>
      <c r="AO65" s="91"/>
      <c r="AP65" s="10"/>
      <c r="AQ65" s="73" t="str">
        <f t="shared" si="27"/>
        <v/>
      </c>
      <c r="AR65" s="79" t="str" cm="1">
        <f t="array" ref="AR65">IFERROR(INDEX($AQ$28:$AQ$78,_xlfn.AGGREGATE(15,3,ROW($AQ$28:$AQ$78)-ROW($AN$27)/($AQ$28:$AQ$78&lt;&gt;""),ROWS($AN$28:AN65))),"")</f>
        <v/>
      </c>
      <c r="AS65" s="73"/>
      <c r="AT65" s="73" t="str">
        <f t="shared" si="10"/>
        <v/>
      </c>
      <c r="AU65" s="84" t="str" cm="1">
        <f t="array" ref="AU65">IFERROR(INDEX($AT$28:$AT$78,_xlfn.AGGREGATE(15,3,ROW($AT$28:$AT$78)-ROW($AN$27)/($AT$28:$AT$78&lt;&gt;""),ROWS($AN$28:AN65))),"")</f>
        <v/>
      </c>
      <c r="AV65" s="10"/>
      <c r="AW65" s="10" t="str">
        <f t="shared" si="28"/>
        <v/>
      </c>
      <c r="AX65" s="89" t="str" cm="1">
        <f t="array" ref="AX65">IFERROR(INDEX($AW$28:$AW$78,_xlfn.AGGREGATE(15,3,ROW($AW$28:$AW$78)-ROW($AN$27)/($AW$28:$AW$78&lt;&gt;""),ROWS($AN$28:AN65))),"")</f>
        <v/>
      </c>
      <c r="AY65" s="10"/>
      <c r="AZ65" s="10" t="str">
        <f t="shared" si="11"/>
        <v/>
      </c>
      <c r="BA65" s="10" t="str" cm="1">
        <f t="array" ref="BA65">IFERROR(INDEX($AZ$28:$AZ$78,_xlfn.AGGREGATE(15,3,ROW($AZ$28:$AZ$78)-ROW($AN$27)/($AW$28:$AW$78&lt;&gt;""),ROWS($AN$28:AN65))),"")</f>
        <v/>
      </c>
      <c r="BB65" s="10"/>
      <c r="BC65" s="33"/>
    </row>
    <row r="66" spans="7:55">
      <c r="G66">
        <v>39</v>
      </c>
      <c r="H66" s="10">
        <f t="shared" si="30"/>
        <v>0</v>
      </c>
      <c r="I66" s="10">
        <f>SUM($H$28:H66)</f>
        <v>180000</v>
      </c>
      <c r="J66" s="10">
        <f t="shared" si="13"/>
        <v>0</v>
      </c>
      <c r="K66" s="10">
        <f t="shared" si="29"/>
        <v>2411208.9408154986</v>
      </c>
      <c r="L66" s="10">
        <f t="shared" si="25"/>
        <v>2625806.5365480781</v>
      </c>
      <c r="M66" s="10">
        <f t="shared" si="26"/>
        <v>36481.591274538514</v>
      </c>
      <c r="N66" s="10">
        <f t="shared" si="15"/>
        <v>2589324.9452735395</v>
      </c>
      <c r="O66" s="7">
        <f t="shared" si="6"/>
        <v>15535.949671641238</v>
      </c>
      <c r="P66" s="10">
        <f t="shared" si="7"/>
        <v>2573788.9956018981</v>
      </c>
      <c r="U66">
        <v>39</v>
      </c>
      <c r="V66" s="10">
        <f t="shared" si="8"/>
        <v>0</v>
      </c>
      <c r="W66" s="10">
        <f t="shared" si="16"/>
        <v>0</v>
      </c>
      <c r="X66" s="10">
        <f t="shared" si="17"/>
        <v>2949075.2207014379</v>
      </c>
      <c r="Y66" s="94">
        <f t="shared" si="18"/>
        <v>58981.504414028757</v>
      </c>
      <c r="Z66" s="94">
        <f t="shared" si="19"/>
        <v>15255.000000000002</v>
      </c>
      <c r="AA66" s="95">
        <f t="shared" si="20"/>
        <v>1042.2318538920781</v>
      </c>
      <c r="AB66" s="94">
        <f t="shared" si="21"/>
        <v>3183449.3826071681</v>
      </c>
      <c r="AC66" s="10">
        <f t="shared" si="22"/>
        <v>234374.16190573014</v>
      </c>
      <c r="AD66" s="10">
        <f>SUM($AC$28:AC66)</f>
        <v>3003449.3826071681</v>
      </c>
      <c r="AE66" s="94">
        <f t="shared" si="9"/>
        <v>3183.449382607168</v>
      </c>
      <c r="AF66" s="94">
        <f t="shared" si="2"/>
        <v>0</v>
      </c>
      <c r="AG66" s="95">
        <f t="shared" si="24"/>
        <v>1261448.7406950106</v>
      </c>
      <c r="AH66" s="10">
        <f t="shared" si="23"/>
        <v>1918817.1925295501</v>
      </c>
      <c r="AO66" s="91"/>
      <c r="AP66" s="10"/>
      <c r="AQ66" s="73" t="str">
        <f t="shared" si="27"/>
        <v/>
      </c>
      <c r="AR66" s="79" t="str" cm="1">
        <f t="array" ref="AR66">IFERROR(INDEX($AQ$28:$AQ$78,_xlfn.AGGREGATE(15,3,ROW($AQ$28:$AQ$78)-ROW($AN$27)/($AQ$28:$AQ$78&lt;&gt;""),ROWS($AN$28:AN66))),"")</f>
        <v/>
      </c>
      <c r="AS66" s="73"/>
      <c r="AT66" s="73" t="str">
        <f t="shared" si="10"/>
        <v/>
      </c>
      <c r="AU66" s="84" t="str" cm="1">
        <f t="array" ref="AU66">IFERROR(INDEX($AT$28:$AT$78,_xlfn.AGGREGATE(15,3,ROW($AT$28:$AT$78)-ROW($AN$27)/($AT$28:$AT$78&lt;&gt;""),ROWS($AN$28:AN66))),"")</f>
        <v/>
      </c>
      <c r="AV66" s="10"/>
      <c r="AW66" s="10" t="str">
        <f t="shared" si="28"/>
        <v/>
      </c>
      <c r="AX66" s="89" t="str" cm="1">
        <f t="array" ref="AX66">IFERROR(INDEX($AW$28:$AW$78,_xlfn.AGGREGATE(15,3,ROW($AW$28:$AW$78)-ROW($AN$27)/($AW$28:$AW$78&lt;&gt;""),ROWS($AN$28:AN66))),"")</f>
        <v/>
      </c>
      <c r="AY66" s="10"/>
      <c r="AZ66" s="10" t="str">
        <f t="shared" si="11"/>
        <v/>
      </c>
      <c r="BA66" s="10" t="str" cm="1">
        <f t="array" ref="BA66">IFERROR(INDEX($AZ$28:$AZ$78,_xlfn.AGGREGATE(15,3,ROW($AZ$28:$AZ$78)-ROW($AN$27)/($AW$28:$AW$78&lt;&gt;""),ROWS($AN$28:AN66))),"")</f>
        <v/>
      </c>
      <c r="BB66" s="10"/>
      <c r="BC66" s="33"/>
    </row>
    <row r="67" spans="7:55">
      <c r="G67">
        <v>40</v>
      </c>
      <c r="H67" s="10">
        <f t="shared" si="30"/>
        <v>0</v>
      </c>
      <c r="I67" s="10">
        <f>SUM($H$28:H67)</f>
        <v>180000</v>
      </c>
      <c r="J67" s="10">
        <f t="shared" si="13"/>
        <v>0</v>
      </c>
      <c r="K67" s="10">
        <f t="shared" si="29"/>
        <v>2589324.9452735395</v>
      </c>
      <c r="L67" s="10">
        <f t="shared" si="25"/>
        <v>2819774.8654028843</v>
      </c>
      <c r="M67" s="10">
        <f t="shared" si="26"/>
        <v>39176.486421988622</v>
      </c>
      <c r="N67" s="10">
        <f t="shared" si="15"/>
        <v>2780598.3789808955</v>
      </c>
      <c r="O67" s="7">
        <f t="shared" si="6"/>
        <v>16683.590273885373</v>
      </c>
      <c r="P67" s="10">
        <f t="shared" si="7"/>
        <v>2763914.78870701</v>
      </c>
      <c r="U67">
        <v>40</v>
      </c>
      <c r="V67" s="10">
        <f t="shared" si="8"/>
        <v>0</v>
      </c>
      <c r="W67" s="10">
        <f t="shared" si="16"/>
        <v>0</v>
      </c>
      <c r="X67" s="10">
        <f t="shared" si="17"/>
        <v>3183449.3826071681</v>
      </c>
      <c r="Y67" s="94">
        <f t="shared" si="18"/>
        <v>63668.987652143362</v>
      </c>
      <c r="Z67" s="94">
        <f t="shared" si="19"/>
        <v>15255.000000000002</v>
      </c>
      <c r="AA67" s="95">
        <f t="shared" si="20"/>
        <v>3010.9748139002118</v>
      </c>
      <c r="AB67" s="94">
        <f t="shared" si="21"/>
        <v>3435776.6053148769</v>
      </c>
      <c r="AC67" s="10">
        <f t="shared" si="22"/>
        <v>252327.22270770883</v>
      </c>
      <c r="AD67" s="10">
        <f>SUM($AC$28:AC67)</f>
        <v>3255776.6053148769</v>
      </c>
      <c r="AE67" s="94">
        <f t="shared" si="9"/>
        <v>3435.7766053148771</v>
      </c>
      <c r="AF67" s="94">
        <f t="shared" si="2"/>
        <v>0</v>
      </c>
      <c r="AG67" s="95">
        <f t="shared" si="24"/>
        <v>1367426.1742322482</v>
      </c>
      <c r="AH67" s="10">
        <f t="shared" si="23"/>
        <v>2064914.6544773136</v>
      </c>
      <c r="AO67" s="91"/>
      <c r="AP67" s="10"/>
      <c r="AQ67" s="73" t="str">
        <f t="shared" si="27"/>
        <v/>
      </c>
      <c r="AR67" s="79" t="str" cm="1">
        <f t="array" ref="AR67">IFERROR(INDEX($AQ$28:$AQ$78,_xlfn.AGGREGATE(15,3,ROW($AQ$28:$AQ$78)-ROW($AN$27)/($AQ$28:$AQ$78&lt;&gt;""),ROWS($AN$28:AN67))),"")</f>
        <v/>
      </c>
      <c r="AS67" s="73"/>
      <c r="AT67" s="73" t="str">
        <f t="shared" si="10"/>
        <v/>
      </c>
      <c r="AU67" s="84" t="str" cm="1">
        <f t="array" ref="AU67">IFERROR(INDEX($AT$28:$AT$78,_xlfn.AGGREGATE(15,3,ROW($AT$28:$AT$78)-ROW($AN$27)/($AT$28:$AT$78&lt;&gt;""),ROWS($AN$28:AN67))),"")</f>
        <v/>
      </c>
      <c r="AV67" s="10"/>
      <c r="AW67" s="10" t="str">
        <f t="shared" si="28"/>
        <v/>
      </c>
      <c r="AX67" s="89" t="str" cm="1">
        <f t="array" ref="AX67">IFERROR(INDEX($AW$28:$AW$78,_xlfn.AGGREGATE(15,3,ROW($AW$28:$AW$78)-ROW($AN$27)/($AW$28:$AW$78&lt;&gt;""),ROWS($AN$28:AN67))),"")</f>
        <v/>
      </c>
      <c r="AY67" s="10"/>
      <c r="AZ67" s="10" t="str">
        <f t="shared" si="11"/>
        <v/>
      </c>
      <c r="BA67" s="10" t="str" cm="1">
        <f t="array" ref="BA67">IFERROR(INDEX($AZ$28:$AZ$78,_xlfn.AGGREGATE(15,3,ROW($AZ$28:$AZ$78)-ROW($AN$27)/($AW$28:$AW$78&lt;&gt;""),ROWS($AN$28:AN67))),"")</f>
        <v/>
      </c>
      <c r="BB67" s="10"/>
      <c r="BC67" s="33"/>
    </row>
    <row r="68" spans="7:55">
      <c r="G68">
        <v>41</v>
      </c>
      <c r="H68" s="10">
        <f t="shared" si="30"/>
        <v>0</v>
      </c>
      <c r="I68" s="10">
        <f>SUM($H$28:H68)</f>
        <v>180000</v>
      </c>
      <c r="J68" s="10">
        <f t="shared" si="13"/>
        <v>0</v>
      </c>
      <c r="K68" s="10">
        <f t="shared" si="29"/>
        <v>2780598.3789808955</v>
      </c>
      <c r="L68" s="10">
        <f t="shared" si="25"/>
        <v>3028071.634710195</v>
      </c>
      <c r="M68" s="10">
        <f t="shared" si="26"/>
        <v>42070.453473980917</v>
      </c>
      <c r="N68" s="10">
        <f t="shared" si="15"/>
        <v>2986001.181236214</v>
      </c>
      <c r="O68" s="7">
        <f t="shared" si="6"/>
        <v>17916.007087417285</v>
      </c>
      <c r="P68" s="10">
        <f t="shared" si="7"/>
        <v>2968085.1741487966</v>
      </c>
      <c r="U68">
        <v>41</v>
      </c>
      <c r="V68" s="10">
        <f t="shared" si="8"/>
        <v>0</v>
      </c>
      <c r="W68" s="10">
        <f t="shared" si="16"/>
        <v>0</v>
      </c>
      <c r="X68" s="10">
        <f t="shared" si="17"/>
        <v>3435776.6053148769</v>
      </c>
      <c r="Y68" s="94">
        <f t="shared" si="18"/>
        <v>68715.532106297542</v>
      </c>
      <c r="Z68" s="94">
        <f t="shared" si="19"/>
        <v>15255.000000000002</v>
      </c>
      <c r="AA68" s="95">
        <f t="shared" si="20"/>
        <v>5130.5234846449675</v>
      </c>
      <c r="AB68" s="94">
        <f t="shared" si="21"/>
        <v>3707432.0932819964</v>
      </c>
      <c r="AC68" s="10">
        <f t="shared" si="22"/>
        <v>271655.48796711955</v>
      </c>
      <c r="AD68" s="10">
        <f>SUM($AC$28:AC68)</f>
        <v>3527432.0932819964</v>
      </c>
      <c r="AE68" s="94">
        <f t="shared" si="9"/>
        <v>3707.4320932819965</v>
      </c>
      <c r="AF68" s="94">
        <f t="shared" si="2"/>
        <v>0</v>
      </c>
      <c r="AG68" s="95">
        <f t="shared" si="24"/>
        <v>1481521.4791784384</v>
      </c>
      <c r="AH68" s="10">
        <f t="shared" si="23"/>
        <v>2222203.1820102762</v>
      </c>
      <c r="AO68" s="91"/>
      <c r="AP68" s="10"/>
      <c r="AQ68" s="73" t="str">
        <f t="shared" si="27"/>
        <v/>
      </c>
      <c r="AR68" s="79" t="str" cm="1">
        <f t="array" ref="AR68">IFERROR(INDEX($AQ$28:$AQ$78,_xlfn.AGGREGATE(15,3,ROW($AQ$28:$AQ$78)-ROW($AN$27)/($AQ$28:$AQ$78&lt;&gt;""),ROWS($AN$28:AN68))),"")</f>
        <v/>
      </c>
      <c r="AS68" s="73"/>
      <c r="AT68" s="73" t="str">
        <f t="shared" si="10"/>
        <v/>
      </c>
      <c r="AU68" s="84" t="str" cm="1">
        <f t="array" ref="AU68">IFERROR(INDEX($AT$28:$AT$78,_xlfn.AGGREGATE(15,3,ROW($AT$28:$AT$78)-ROW($AN$27)/($AT$28:$AT$78&lt;&gt;""),ROWS($AN$28:AN68))),"")</f>
        <v/>
      </c>
      <c r="AV68" s="10"/>
      <c r="AW68" s="10" t="str">
        <f t="shared" si="28"/>
        <v/>
      </c>
      <c r="AX68" s="89" t="str" cm="1">
        <f t="array" ref="AX68">IFERROR(INDEX($AW$28:$AW$78,_xlfn.AGGREGATE(15,3,ROW($AW$28:$AW$78)-ROW($AN$27)/($AW$28:$AW$78&lt;&gt;""),ROWS($AN$28:AN68))),"")</f>
        <v/>
      </c>
      <c r="AY68" s="10"/>
      <c r="AZ68" s="10" t="str">
        <f t="shared" si="11"/>
        <v/>
      </c>
      <c r="BA68" s="10" t="str" cm="1">
        <f t="array" ref="BA68">IFERROR(INDEX($AZ$28:$AZ$78,_xlfn.AGGREGATE(15,3,ROW($AZ$28:$AZ$78)-ROW($AN$27)/($AW$28:$AW$78&lt;&gt;""),ROWS($AN$28:AN68))),"")</f>
        <v/>
      </c>
      <c r="BB68" s="10"/>
      <c r="BC68" s="33"/>
    </row>
    <row r="69" spans="7:55">
      <c r="G69">
        <v>42</v>
      </c>
      <c r="H69" s="10">
        <f t="shared" si="30"/>
        <v>0</v>
      </c>
      <c r="I69" s="10">
        <f>SUM($H$28:H69)</f>
        <v>180000</v>
      </c>
      <c r="J69" s="10">
        <f t="shared" si="13"/>
        <v>0</v>
      </c>
      <c r="K69" s="10">
        <f t="shared" si="29"/>
        <v>2986001.181236214</v>
      </c>
      <c r="L69" s="10">
        <f t="shared" si="25"/>
        <v>3251755.2863662369</v>
      </c>
      <c r="M69" s="10">
        <f t="shared" si="26"/>
        <v>45178.19787210389</v>
      </c>
      <c r="N69" s="10">
        <f t="shared" si="15"/>
        <v>3206577.0884941332</v>
      </c>
      <c r="O69" s="7">
        <f t="shared" si="6"/>
        <v>19239.4625309648</v>
      </c>
      <c r="P69" s="10">
        <f t="shared" si="7"/>
        <v>3187337.6259631682</v>
      </c>
      <c r="U69">
        <v>42</v>
      </c>
      <c r="V69" s="10">
        <f t="shared" si="8"/>
        <v>0</v>
      </c>
      <c r="W69" s="10">
        <f t="shared" si="16"/>
        <v>0</v>
      </c>
      <c r="X69" s="10">
        <f t="shared" si="17"/>
        <v>3707432.0932819964</v>
      </c>
      <c r="Y69" s="94">
        <f t="shared" si="18"/>
        <v>74148.641865639933</v>
      </c>
      <c r="Z69" s="94">
        <f t="shared" si="19"/>
        <v>15255.000000000002</v>
      </c>
      <c r="AA69" s="95">
        <f t="shared" si="20"/>
        <v>7412.4295835687717</v>
      </c>
      <c r="AB69" s="94">
        <f t="shared" si="21"/>
        <v>3999896.3916273974</v>
      </c>
      <c r="AC69" s="10">
        <f t="shared" si="22"/>
        <v>292464.29834540095</v>
      </c>
      <c r="AD69" s="10">
        <f>SUM($AC$28:AC69)</f>
        <v>3819896.3916273974</v>
      </c>
      <c r="AE69" s="94">
        <f t="shared" si="9"/>
        <v>3999.8963916273974</v>
      </c>
      <c r="AF69" s="94">
        <f t="shared" si="2"/>
        <v>0</v>
      </c>
      <c r="AG69" s="95">
        <f t="shared" si="24"/>
        <v>1604356.4844835068</v>
      </c>
      <c r="AH69" s="10">
        <f t="shared" si="23"/>
        <v>2391540.0107522635</v>
      </c>
      <c r="AO69" s="91"/>
      <c r="AP69" s="10"/>
      <c r="AQ69" s="73" t="str">
        <f t="shared" si="27"/>
        <v/>
      </c>
      <c r="AR69" s="79" t="str" cm="1">
        <f t="array" ref="AR69">IFERROR(INDEX($AQ$28:$AQ$78,_xlfn.AGGREGATE(15,3,ROW($AQ$28:$AQ$78)-ROW($AN$27)/($AQ$28:$AQ$78&lt;&gt;""),ROWS($AN$28:AN69))),"")</f>
        <v/>
      </c>
      <c r="AS69" s="73"/>
      <c r="AT69" s="73" t="str">
        <f t="shared" si="10"/>
        <v/>
      </c>
      <c r="AU69" s="84" t="str" cm="1">
        <f t="array" ref="AU69">IFERROR(INDEX($AT$28:$AT$78,_xlfn.AGGREGATE(15,3,ROW($AT$28:$AT$78)-ROW($AN$27)/($AT$28:$AT$78&lt;&gt;""),ROWS($AN$28:AN69))),"")</f>
        <v/>
      </c>
      <c r="AV69" s="10"/>
      <c r="AW69" s="10" t="str">
        <f t="shared" si="28"/>
        <v/>
      </c>
      <c r="AX69" s="89" t="str" cm="1">
        <f t="array" ref="AX69">IFERROR(INDEX($AW$28:$AW$78,_xlfn.AGGREGATE(15,3,ROW($AW$28:$AW$78)-ROW($AN$27)/($AW$28:$AW$78&lt;&gt;""),ROWS($AN$28:AN69))),"")</f>
        <v/>
      </c>
      <c r="AY69" s="10"/>
      <c r="AZ69" s="10" t="str">
        <f t="shared" si="11"/>
        <v/>
      </c>
      <c r="BA69" s="10" t="str" cm="1">
        <f t="array" ref="BA69">IFERROR(INDEX($AZ$28:$AZ$78,_xlfn.AGGREGATE(15,3,ROW($AZ$28:$AZ$78)-ROW($AN$27)/($AW$28:$AW$78&lt;&gt;""),ROWS($AN$28:AN69))),"")</f>
        <v/>
      </c>
      <c r="BB69" s="10"/>
      <c r="BC69" s="33"/>
    </row>
    <row r="70" spans="7:55">
      <c r="G70">
        <v>43</v>
      </c>
      <c r="H70" s="10">
        <f t="shared" si="30"/>
        <v>0</v>
      </c>
      <c r="I70" s="10">
        <f>SUM($H$28:H70)</f>
        <v>180000</v>
      </c>
      <c r="J70" s="10">
        <f t="shared" si="13"/>
        <v>0</v>
      </c>
      <c r="K70" s="10">
        <f t="shared" si="29"/>
        <v>3206577.0884941332</v>
      </c>
      <c r="L70" s="10">
        <f t="shared" si="25"/>
        <v>3491962.4493701109</v>
      </c>
      <c r="M70" s="10">
        <f t="shared" si="26"/>
        <v>48515.51134891621</v>
      </c>
      <c r="N70" s="10">
        <f t="shared" si="15"/>
        <v>3443446.9380211947</v>
      </c>
      <c r="O70" s="7">
        <f t="shared" si="6"/>
        <v>20660.681628127168</v>
      </c>
      <c r="P70" s="10">
        <f t="shared" si="7"/>
        <v>3422786.2563930675</v>
      </c>
      <c r="U70">
        <v>43</v>
      </c>
      <c r="V70" s="10">
        <f t="shared" si="8"/>
        <v>0</v>
      </c>
      <c r="W70" s="10">
        <f t="shared" si="16"/>
        <v>0</v>
      </c>
      <c r="X70" s="10">
        <f t="shared" si="17"/>
        <v>3999896.3916273974</v>
      </c>
      <c r="Y70" s="94">
        <f t="shared" si="18"/>
        <v>79997.927832547954</v>
      </c>
      <c r="Z70" s="94">
        <f t="shared" si="19"/>
        <v>15255.000000000002</v>
      </c>
      <c r="AA70" s="95">
        <f t="shared" si="20"/>
        <v>9869.1296896701406</v>
      </c>
      <c r="AB70" s="94">
        <f t="shared" si="21"/>
        <v>4314763.4552260553</v>
      </c>
      <c r="AC70" s="10">
        <f t="shared" si="22"/>
        <v>314867.06359865796</v>
      </c>
      <c r="AD70" s="10">
        <f>SUM($AC$28:AC70)</f>
        <v>4134763.4552260553</v>
      </c>
      <c r="AE70" s="94">
        <f t="shared" si="9"/>
        <v>4314.7634552260552</v>
      </c>
      <c r="AF70" s="94">
        <f t="shared" si="2"/>
        <v>0</v>
      </c>
      <c r="AG70" s="95">
        <f t="shared" si="24"/>
        <v>1736600.6511949431</v>
      </c>
      <c r="AH70" s="10">
        <f t="shared" si="23"/>
        <v>2573848.0405758861</v>
      </c>
      <c r="AO70" s="91"/>
      <c r="AP70" s="10"/>
      <c r="AQ70" s="73" t="str">
        <f t="shared" si="27"/>
        <v/>
      </c>
      <c r="AR70" s="79" t="str" cm="1">
        <f t="array" ref="AR70">IFERROR(INDEX($AQ$28:$AQ$78,_xlfn.AGGREGATE(15,3,ROW($AQ$28:$AQ$78)-ROW($AN$27)/($AQ$28:$AQ$78&lt;&gt;""),ROWS($AN$28:AN70))),"")</f>
        <v/>
      </c>
      <c r="AS70" s="73"/>
      <c r="AT70" s="73" t="str">
        <f t="shared" si="10"/>
        <v/>
      </c>
      <c r="AU70" s="84" t="str" cm="1">
        <f t="array" ref="AU70">IFERROR(INDEX($AT$28:$AT$78,_xlfn.AGGREGATE(15,3,ROW($AT$28:$AT$78)-ROW($AN$27)/($AT$28:$AT$78&lt;&gt;""),ROWS($AN$28:AN70))),"")</f>
        <v/>
      </c>
      <c r="AV70" s="10"/>
      <c r="AW70" s="10" t="str">
        <f t="shared" si="28"/>
        <v/>
      </c>
      <c r="AX70" s="89" t="str" cm="1">
        <f t="array" ref="AX70">IFERROR(INDEX($AW$28:$AW$78,_xlfn.AGGREGATE(15,3,ROW($AW$28:$AW$78)-ROW($AN$27)/($AW$28:$AW$78&lt;&gt;""),ROWS($AN$28:AN70))),"")</f>
        <v/>
      </c>
      <c r="AY70" s="10"/>
      <c r="AZ70" s="10" t="str">
        <f t="shared" si="11"/>
        <v/>
      </c>
      <c r="BA70" s="10" t="str" cm="1">
        <f t="array" ref="BA70">IFERROR(INDEX($AZ$28:$AZ$78,_xlfn.AGGREGATE(15,3,ROW($AZ$28:$AZ$78)-ROW($AN$27)/($AW$28:$AW$78&lt;&gt;""),ROWS($AN$28:AN70))),"")</f>
        <v/>
      </c>
      <c r="BB70" s="10"/>
      <c r="BC70" s="33"/>
    </row>
    <row r="71" spans="7:55">
      <c r="G71">
        <v>44</v>
      </c>
      <c r="H71" s="10">
        <f t="shared" si="30"/>
        <v>0</v>
      </c>
      <c r="I71" s="10">
        <f>SUM($H$28:H71)</f>
        <v>180000</v>
      </c>
      <c r="J71" s="10">
        <f t="shared" si="13"/>
        <v>0</v>
      </c>
      <c r="K71" s="10">
        <f t="shared" si="29"/>
        <v>3443446.9380211947</v>
      </c>
      <c r="L71" s="10">
        <f t="shared" si="25"/>
        <v>3749913.7155050808</v>
      </c>
      <c r="M71" s="10">
        <f t="shared" si="26"/>
        <v>52099.352172260646</v>
      </c>
      <c r="N71" s="10">
        <f t="shared" si="15"/>
        <v>3697814.3633328201</v>
      </c>
      <c r="O71" s="7">
        <f t="shared" si="6"/>
        <v>22186.886179996924</v>
      </c>
      <c r="P71" s="10">
        <f t="shared" si="7"/>
        <v>3675627.477152823</v>
      </c>
      <c r="U71">
        <v>44</v>
      </c>
      <c r="V71" s="10">
        <f t="shared" si="8"/>
        <v>0</v>
      </c>
      <c r="W71" s="10">
        <f t="shared" si="16"/>
        <v>0</v>
      </c>
      <c r="X71" s="10">
        <f t="shared" si="17"/>
        <v>4314763.4552260553</v>
      </c>
      <c r="Y71" s="94">
        <f t="shared" si="18"/>
        <v>86295.26910452111</v>
      </c>
      <c r="Z71" s="94">
        <f t="shared" si="19"/>
        <v>15255.000000000002</v>
      </c>
      <c r="AA71" s="95">
        <f t="shared" si="20"/>
        <v>12514.013023898866</v>
      </c>
      <c r="AB71" s="94">
        <f t="shared" si="21"/>
        <v>4653749.3358963709</v>
      </c>
      <c r="AC71" s="10">
        <f t="shared" si="22"/>
        <v>338985.88067031559</v>
      </c>
      <c r="AD71" s="10">
        <f>SUM($AC$28:AC71)</f>
        <v>4473749.3358963709</v>
      </c>
      <c r="AE71" s="94">
        <f t="shared" si="9"/>
        <v>4653.7493358963711</v>
      </c>
      <c r="AF71" s="94">
        <f t="shared" si="2"/>
        <v>0</v>
      </c>
      <c r="AG71" s="95">
        <f t="shared" si="24"/>
        <v>1878974.7210764757</v>
      </c>
      <c r="AH71" s="10">
        <f t="shared" si="23"/>
        <v>2770120.8654839993</v>
      </c>
      <c r="AO71" s="91"/>
      <c r="AP71" s="10"/>
      <c r="AQ71" s="73" t="str">
        <f t="shared" si="27"/>
        <v/>
      </c>
      <c r="AR71" s="79" t="str" cm="1">
        <f t="array" ref="AR71">IFERROR(INDEX($AQ$28:$AQ$78,_xlfn.AGGREGATE(15,3,ROW($AQ$28:$AQ$78)-ROW($AN$27)/($AQ$28:$AQ$78&lt;&gt;""),ROWS($AN$28:AN71))),"")</f>
        <v/>
      </c>
      <c r="AS71" s="73"/>
      <c r="AT71" s="73" t="str">
        <f t="shared" si="10"/>
        <v/>
      </c>
      <c r="AU71" s="84" t="str" cm="1">
        <f t="array" ref="AU71">IFERROR(INDEX($AT$28:$AT$78,_xlfn.AGGREGATE(15,3,ROW($AT$28:$AT$78)-ROW($AN$27)/($AT$28:$AT$78&lt;&gt;""),ROWS($AN$28:AN71))),"")</f>
        <v/>
      </c>
      <c r="AV71" s="10"/>
      <c r="AW71" s="10" t="str">
        <f t="shared" si="28"/>
        <v/>
      </c>
      <c r="AX71" s="89" t="str" cm="1">
        <f t="array" ref="AX71">IFERROR(INDEX($AW$28:$AW$78,_xlfn.AGGREGATE(15,3,ROW($AW$28:$AW$78)-ROW($AN$27)/($AW$28:$AW$78&lt;&gt;""),ROWS($AN$28:AN71))),"")</f>
        <v/>
      </c>
      <c r="AY71" s="10"/>
      <c r="AZ71" s="10" t="str">
        <f t="shared" si="11"/>
        <v/>
      </c>
      <c r="BA71" s="10" t="str" cm="1">
        <f t="array" ref="BA71">IFERROR(INDEX($AZ$28:$AZ$78,_xlfn.AGGREGATE(15,3,ROW($AZ$28:$AZ$78)-ROW($AN$27)/($AW$28:$AW$78&lt;&gt;""),ROWS($AN$28:AN71))),"")</f>
        <v/>
      </c>
      <c r="BB71" s="10"/>
      <c r="BC71" s="33"/>
    </row>
    <row r="72" spans="7:55">
      <c r="G72">
        <v>45</v>
      </c>
      <c r="H72" s="10">
        <f t="shared" si="30"/>
        <v>0</v>
      </c>
      <c r="I72" s="10">
        <f>SUM($H$28:H72)</f>
        <v>180000</v>
      </c>
      <c r="J72" s="10">
        <f t="shared" si="13"/>
        <v>0</v>
      </c>
      <c r="K72" s="10">
        <f t="shared" si="29"/>
        <v>3697814.3633328201</v>
      </c>
      <c r="L72" s="10">
        <f t="shared" si="25"/>
        <v>4026919.8416694412</v>
      </c>
      <c r="M72" s="10">
        <f t="shared" si="26"/>
        <v>55947.931317225586</v>
      </c>
      <c r="N72" s="10">
        <f t="shared" si="15"/>
        <v>3970971.9103522156</v>
      </c>
      <c r="O72" s="7">
        <f t="shared" si="6"/>
        <v>23825.831462113292</v>
      </c>
      <c r="P72" s="10">
        <f t="shared" si="7"/>
        <v>3947146.0788901024</v>
      </c>
      <c r="U72">
        <v>45</v>
      </c>
      <c r="V72" s="10">
        <f t="shared" si="8"/>
        <v>0</v>
      </c>
      <c r="W72" s="10">
        <f t="shared" si="16"/>
        <v>0</v>
      </c>
      <c r="X72" s="10">
        <f t="shared" si="17"/>
        <v>4653749.3358963709</v>
      </c>
      <c r="Y72" s="94">
        <f t="shared" si="18"/>
        <v>93074.986717927415</v>
      </c>
      <c r="Z72" s="94">
        <f t="shared" si="19"/>
        <v>15255.000000000002</v>
      </c>
      <c r="AA72" s="95">
        <f t="shared" si="20"/>
        <v>15361.494421529515</v>
      </c>
      <c r="AB72" s="94">
        <f t="shared" si="21"/>
        <v>5018701.5350260325</v>
      </c>
      <c r="AC72" s="10">
        <f t="shared" si="22"/>
        <v>364952.19912966155</v>
      </c>
      <c r="AD72" s="10">
        <f>SUM($AC$28:AC72)</f>
        <v>4838701.5350260325</v>
      </c>
      <c r="AE72" s="94">
        <f t="shared" si="9"/>
        <v>5018.7015350260326</v>
      </c>
      <c r="AF72" s="94">
        <f t="shared" si="2"/>
        <v>0</v>
      </c>
      <c r="AG72" s="95">
        <f t="shared" si="24"/>
        <v>2032254.6447109336</v>
      </c>
      <c r="AH72" s="10">
        <f t="shared" si="23"/>
        <v>2981428.1887800731</v>
      </c>
      <c r="AO72" s="91"/>
      <c r="AP72" s="10"/>
      <c r="AQ72" s="73" t="str">
        <f t="shared" si="27"/>
        <v/>
      </c>
      <c r="AR72" s="79" t="str" cm="1">
        <f t="array" ref="AR72">IFERROR(INDEX($AQ$28:$AQ$78,_xlfn.AGGREGATE(15,3,ROW($AQ$28:$AQ$78)-ROW($AN$27)/($AQ$28:$AQ$78&lt;&gt;""),ROWS($AN$28:AN72))),"")</f>
        <v/>
      </c>
      <c r="AS72" s="73"/>
      <c r="AT72" s="73" t="str">
        <f t="shared" si="10"/>
        <v/>
      </c>
      <c r="AU72" s="84" t="str" cm="1">
        <f t="array" ref="AU72">IFERROR(INDEX($AT$28:$AT$78,_xlfn.AGGREGATE(15,3,ROW($AT$28:$AT$78)-ROW($AN$27)/($AT$28:$AT$78&lt;&gt;""),ROWS($AN$28:AN72))),"")</f>
        <v/>
      </c>
      <c r="AV72" s="10"/>
      <c r="AW72" s="10" t="str">
        <f t="shared" si="28"/>
        <v/>
      </c>
      <c r="AX72" s="89" t="str" cm="1">
        <f t="array" ref="AX72">IFERROR(INDEX($AW$28:$AW$78,_xlfn.AGGREGATE(15,3,ROW($AW$28:$AW$78)-ROW($AN$27)/($AW$28:$AW$78&lt;&gt;""),ROWS($AN$28:AN72))),"")</f>
        <v/>
      </c>
      <c r="AY72" s="10"/>
      <c r="AZ72" s="10" t="str">
        <f t="shared" si="11"/>
        <v/>
      </c>
      <c r="BA72" s="10" t="str" cm="1">
        <f t="array" ref="BA72">IFERROR(INDEX($AZ$28:$AZ$78,_xlfn.AGGREGATE(15,3,ROW($AZ$28:$AZ$78)-ROW($AN$27)/($AW$28:$AW$78&lt;&gt;""),ROWS($AN$28:AN72))),"")</f>
        <v/>
      </c>
      <c r="BB72" s="10"/>
      <c r="BC72" s="33"/>
    </row>
    <row r="73" spans="7:55">
      <c r="G73">
        <v>46</v>
      </c>
      <c r="H73" s="10">
        <f t="shared" si="30"/>
        <v>0</v>
      </c>
      <c r="I73" s="10">
        <f>SUM($H$28:H73)</f>
        <v>180000</v>
      </c>
      <c r="J73" s="10">
        <f t="shared" si="13"/>
        <v>0</v>
      </c>
      <c r="K73" s="10">
        <f t="shared" si="29"/>
        <v>3970971.9103522156</v>
      </c>
      <c r="L73" s="10">
        <f t="shared" si="25"/>
        <v>4324388.4103735629</v>
      </c>
      <c r="M73" s="10">
        <f t="shared" si="26"/>
        <v>60080.805003629044</v>
      </c>
      <c r="N73" s="10">
        <f t="shared" si="15"/>
        <v>4264307.6053699339</v>
      </c>
      <c r="O73" s="7">
        <f t="shared" si="6"/>
        <v>25585.845632219603</v>
      </c>
      <c r="P73" s="10">
        <f t="shared" si="7"/>
        <v>4238721.7597377142</v>
      </c>
      <c r="U73">
        <v>46</v>
      </c>
      <c r="V73" s="10">
        <f t="shared" si="8"/>
        <v>0</v>
      </c>
      <c r="W73" s="10">
        <f t="shared" si="16"/>
        <v>0</v>
      </c>
      <c r="X73" s="10">
        <f t="shared" si="17"/>
        <v>5018701.5350260325</v>
      </c>
      <c r="Y73" s="94">
        <f t="shared" si="18"/>
        <v>100374.03070052066</v>
      </c>
      <c r="Z73" s="94">
        <f t="shared" si="19"/>
        <v>15255.000000000002</v>
      </c>
      <c r="AA73" s="95">
        <f t="shared" si="20"/>
        <v>18427.092894218677</v>
      </c>
      <c r="AB73" s="94">
        <f t="shared" si="21"/>
        <v>5411609.072609026</v>
      </c>
      <c r="AC73" s="10">
        <f t="shared" si="22"/>
        <v>392907.53758299351</v>
      </c>
      <c r="AD73" s="10">
        <f>SUM($AC$28:AC73)</f>
        <v>5231609.072609026</v>
      </c>
      <c r="AE73" s="94">
        <f t="shared" si="9"/>
        <v>5411.609072609026</v>
      </c>
      <c r="AF73" s="94">
        <f t="shared" si="2"/>
        <v>0</v>
      </c>
      <c r="AG73" s="95">
        <f t="shared" si="24"/>
        <v>2197275.810495791</v>
      </c>
      <c r="AH73" s="10">
        <f t="shared" si="23"/>
        <v>3208921.6530406261</v>
      </c>
      <c r="AO73" s="91"/>
      <c r="AP73" s="10"/>
      <c r="AQ73" s="73" t="str">
        <f t="shared" si="27"/>
        <v/>
      </c>
      <c r="AR73" s="79" t="str" cm="1">
        <f t="array" ref="AR73">IFERROR(INDEX($AQ$28:$AQ$78,_xlfn.AGGREGATE(15,3,ROW($AQ$28:$AQ$78)-ROW($AN$27)/($AQ$28:$AQ$78&lt;&gt;""),ROWS($AN$28:AN73))),"")</f>
        <v/>
      </c>
      <c r="AS73" s="73"/>
      <c r="AT73" s="73" t="str">
        <f t="shared" si="10"/>
        <v/>
      </c>
      <c r="AU73" s="84" t="str" cm="1">
        <f t="array" ref="AU73">IFERROR(INDEX($AT$28:$AT$78,_xlfn.AGGREGATE(15,3,ROW($AT$28:$AT$78)-ROW($AN$27)/($AT$28:$AT$78&lt;&gt;""),ROWS($AN$28:AN73))),"")</f>
        <v/>
      </c>
      <c r="AV73" s="10"/>
      <c r="AW73" s="10" t="str">
        <f t="shared" si="28"/>
        <v/>
      </c>
      <c r="AX73" s="89" t="str" cm="1">
        <f t="array" ref="AX73">IFERROR(INDEX($AW$28:$AW$78,_xlfn.AGGREGATE(15,3,ROW($AW$28:$AW$78)-ROW($AN$27)/($AW$28:$AW$78&lt;&gt;""),ROWS($AN$28:AN73))),"")</f>
        <v/>
      </c>
      <c r="AY73" s="10"/>
      <c r="AZ73" s="10" t="str">
        <f t="shared" si="11"/>
        <v/>
      </c>
      <c r="BA73" s="10" t="str" cm="1">
        <f t="array" ref="BA73">IFERROR(INDEX($AZ$28:$AZ$78,_xlfn.AGGREGATE(15,3,ROW($AZ$28:$AZ$78)-ROW($AN$27)/($AW$28:$AW$78&lt;&gt;""),ROWS($AN$28:AN73))),"")</f>
        <v/>
      </c>
      <c r="BB73" s="10"/>
      <c r="BC73" s="33"/>
    </row>
    <row r="74" spans="7:55">
      <c r="G74">
        <v>47</v>
      </c>
      <c r="H74" s="10">
        <f t="shared" si="30"/>
        <v>0</v>
      </c>
      <c r="I74" s="10">
        <f>SUM($H$28:H74)</f>
        <v>180000</v>
      </c>
      <c r="J74" s="10">
        <f t="shared" si="13"/>
        <v>0</v>
      </c>
      <c r="K74" s="10">
        <f t="shared" si="29"/>
        <v>4264307.6053699339</v>
      </c>
      <c r="L74" s="10">
        <f t="shared" si="25"/>
        <v>4643830.9822478583</v>
      </c>
      <c r="M74" s="10">
        <f t="shared" si="26"/>
        <v>64518.974069247161</v>
      </c>
      <c r="N74" s="10">
        <f t="shared" si="15"/>
        <v>4579312.0081786113</v>
      </c>
      <c r="O74" s="7">
        <f t="shared" si="6"/>
        <v>27475.87204907167</v>
      </c>
      <c r="P74" s="10">
        <f t="shared" si="7"/>
        <v>4551836.1361295395</v>
      </c>
      <c r="U74">
        <v>47</v>
      </c>
      <c r="V74" s="10">
        <f t="shared" si="8"/>
        <v>0</v>
      </c>
      <c r="W74" s="10">
        <f t="shared" si="16"/>
        <v>0</v>
      </c>
      <c r="X74" s="10">
        <f t="shared" si="17"/>
        <v>5411609.072609026</v>
      </c>
      <c r="Y74" s="94">
        <f t="shared" si="18"/>
        <v>108232.18145218052</v>
      </c>
      <c r="Z74" s="94">
        <f t="shared" si="19"/>
        <v>15255.000000000002</v>
      </c>
      <c r="AA74" s="95">
        <f t="shared" si="20"/>
        <v>21727.516209915819</v>
      </c>
      <c r="AB74" s="94">
        <f t="shared" si="21"/>
        <v>5834613.327570877</v>
      </c>
      <c r="AC74" s="10">
        <f t="shared" si="22"/>
        <v>423004.25496185105</v>
      </c>
      <c r="AD74" s="10">
        <f>SUM($AC$28:AC74)</f>
        <v>5654613.327570877</v>
      </c>
      <c r="AE74" s="94">
        <f t="shared" si="9"/>
        <v>5834.6133275708771</v>
      </c>
      <c r="AF74" s="94">
        <f t="shared" si="2"/>
        <v>0</v>
      </c>
      <c r="AG74" s="95">
        <f t="shared" si="24"/>
        <v>2374937.5975797684</v>
      </c>
      <c r="AH74" s="10">
        <f t="shared" si="23"/>
        <v>3453841.1166635375</v>
      </c>
      <c r="AO74" s="91"/>
      <c r="AP74" s="10"/>
      <c r="AQ74" s="73" t="str">
        <f t="shared" si="27"/>
        <v/>
      </c>
      <c r="AR74" s="79" t="str" cm="1">
        <f t="array" ref="AR74">IFERROR(INDEX($AQ$28:$AQ$78,_xlfn.AGGREGATE(15,3,ROW($AQ$28:$AQ$78)-ROW($AN$27)/($AQ$28:$AQ$78&lt;&gt;""),ROWS($AN$28:AN74))),"")</f>
        <v/>
      </c>
      <c r="AS74" s="73"/>
      <c r="AT74" s="73" t="str">
        <f t="shared" si="10"/>
        <v/>
      </c>
      <c r="AU74" s="84" t="str" cm="1">
        <f t="array" ref="AU74">IFERROR(INDEX($AT$28:$AT$78,_xlfn.AGGREGATE(15,3,ROW($AT$28:$AT$78)-ROW($AN$27)/($AT$28:$AT$78&lt;&gt;""),ROWS($AN$28:AN74))),"")</f>
        <v/>
      </c>
      <c r="AV74" s="10"/>
      <c r="AW74" s="10" t="str">
        <f t="shared" si="28"/>
        <v/>
      </c>
      <c r="AX74" s="89" t="str" cm="1">
        <f t="array" ref="AX74">IFERROR(INDEX($AW$28:$AW$78,_xlfn.AGGREGATE(15,3,ROW($AW$28:$AW$78)-ROW($AN$27)/($AW$28:$AW$78&lt;&gt;""),ROWS($AN$28:AN74))),"")</f>
        <v/>
      </c>
      <c r="AY74" s="10"/>
      <c r="AZ74" s="10" t="str">
        <f t="shared" si="11"/>
        <v/>
      </c>
      <c r="BA74" s="10" t="str" cm="1">
        <f t="array" ref="BA74">IFERROR(INDEX($AZ$28:$AZ$78,_xlfn.AGGREGATE(15,3,ROW($AZ$28:$AZ$78)-ROW($AN$27)/($AW$28:$AW$78&lt;&gt;""),ROWS($AN$28:AN74))),"")</f>
        <v/>
      </c>
      <c r="BB74" s="10"/>
      <c r="BC74" s="33"/>
    </row>
    <row r="75" spans="7:55">
      <c r="G75">
        <v>48</v>
      </c>
      <c r="H75" s="10">
        <f t="shared" si="30"/>
        <v>0</v>
      </c>
      <c r="I75" s="10">
        <f>SUM($H$28:H75)</f>
        <v>180000</v>
      </c>
      <c r="J75" s="10">
        <f t="shared" si="13"/>
        <v>0</v>
      </c>
      <c r="K75" s="10">
        <f t="shared" si="29"/>
        <v>4579312.0081786113</v>
      </c>
      <c r="L75" s="10">
        <f t="shared" si="25"/>
        <v>4986870.7769065071</v>
      </c>
      <c r="M75" s="10">
        <f t="shared" si="26"/>
        <v>69284.99068374229</v>
      </c>
      <c r="N75" s="10">
        <f t="shared" si="15"/>
        <v>4917585.7862227652</v>
      </c>
      <c r="O75" s="7">
        <f t="shared" si="6"/>
        <v>29505.514717336591</v>
      </c>
      <c r="P75" s="10">
        <f t="shared" si="7"/>
        <v>4888080.2715054285</v>
      </c>
      <c r="U75">
        <v>48</v>
      </c>
      <c r="V75" s="10">
        <f t="shared" si="8"/>
        <v>0</v>
      </c>
      <c r="W75" s="10">
        <f t="shared" si="16"/>
        <v>0</v>
      </c>
      <c r="X75" s="10">
        <f t="shared" si="17"/>
        <v>5834613.327570877</v>
      </c>
      <c r="Y75" s="94">
        <f t="shared" si="18"/>
        <v>116692.26655141755</v>
      </c>
      <c r="Z75" s="94">
        <f t="shared" si="19"/>
        <v>15255.000000000002</v>
      </c>
      <c r="AA75" s="95">
        <f t="shared" si="20"/>
        <v>25280.751951595368</v>
      </c>
      <c r="AB75" s="94">
        <f t="shared" si="21"/>
        <v>6290019.7084628064</v>
      </c>
      <c r="AC75" s="10">
        <f t="shared" si="22"/>
        <v>455406.38089192938</v>
      </c>
      <c r="AD75" s="10">
        <f>SUM($AC$28:AC75)</f>
        <v>6110019.7084628064</v>
      </c>
      <c r="AE75" s="94">
        <f t="shared" si="9"/>
        <v>6290.0197084628062</v>
      </c>
      <c r="AF75" s="94">
        <f t="shared" si="2"/>
        <v>0</v>
      </c>
      <c r="AG75" s="95">
        <f t="shared" si="24"/>
        <v>2566208.2775543784</v>
      </c>
      <c r="AH75" s="10">
        <f t="shared" si="23"/>
        <v>3717521.411199965</v>
      </c>
      <c r="AO75" s="91"/>
      <c r="AP75" s="10"/>
      <c r="AQ75" s="73" t="str">
        <f t="shared" si="27"/>
        <v/>
      </c>
      <c r="AR75" s="79" t="str" cm="1">
        <f t="array" ref="AR75">IFERROR(INDEX($AQ$28:$AQ$78,_xlfn.AGGREGATE(15,3,ROW($AQ$28:$AQ$78)-ROW($AN$27)/($AQ$28:$AQ$78&lt;&gt;""),ROWS($AN$28:AN75))),"")</f>
        <v/>
      </c>
      <c r="AS75" s="73"/>
      <c r="AT75" s="73" t="str">
        <f t="shared" si="10"/>
        <v/>
      </c>
      <c r="AU75" s="84" t="str" cm="1">
        <f t="array" ref="AU75">IFERROR(INDEX($AT$28:$AT$78,_xlfn.AGGREGATE(15,3,ROW($AT$28:$AT$78)-ROW($AN$27)/($AT$28:$AT$78&lt;&gt;""),ROWS($AN$28:AN75))),"")</f>
        <v/>
      </c>
      <c r="AV75" s="10"/>
      <c r="AW75" s="10" t="str">
        <f t="shared" si="28"/>
        <v/>
      </c>
      <c r="AX75" s="89" t="str" cm="1">
        <f t="array" ref="AX75">IFERROR(INDEX($AW$28:$AW$78,_xlfn.AGGREGATE(15,3,ROW($AW$28:$AW$78)-ROW($AN$27)/($AW$28:$AW$78&lt;&gt;""),ROWS($AN$28:AN75))),"")</f>
        <v/>
      </c>
      <c r="AY75" s="10"/>
      <c r="AZ75" s="10" t="str">
        <f t="shared" si="11"/>
        <v/>
      </c>
      <c r="BA75" s="10" t="str" cm="1">
        <f t="array" ref="BA75">IFERROR(INDEX($AZ$28:$AZ$78,_xlfn.AGGREGATE(15,3,ROW($AZ$28:$AZ$78)-ROW($AN$27)/($AW$28:$AW$78&lt;&gt;""),ROWS($AN$28:AN75))),"")</f>
        <v/>
      </c>
      <c r="BB75" s="10"/>
      <c r="BC75" s="33"/>
    </row>
    <row r="76" spans="7:55">
      <c r="G76">
        <v>49</v>
      </c>
      <c r="H76" s="10">
        <f t="shared" si="30"/>
        <v>0</v>
      </c>
      <c r="I76" s="10">
        <f>SUM($H$28:H76)</f>
        <v>180000</v>
      </c>
      <c r="J76" s="10">
        <f t="shared" si="13"/>
        <v>0</v>
      </c>
      <c r="K76" s="10">
        <f t="shared" si="29"/>
        <v>4917585.7862227652</v>
      </c>
      <c r="L76" s="10">
        <f t="shared" si="25"/>
        <v>5355250.9211965911</v>
      </c>
      <c r="M76" s="10">
        <f t="shared" si="26"/>
        <v>74403.072945550404</v>
      </c>
      <c r="N76" s="10">
        <f t="shared" si="15"/>
        <v>5280847.848251041</v>
      </c>
      <c r="O76" s="7">
        <f t="shared" si="6"/>
        <v>31685.087089506247</v>
      </c>
      <c r="P76" s="10">
        <f t="shared" si="7"/>
        <v>5249162.761161535</v>
      </c>
      <c r="U76">
        <v>49</v>
      </c>
      <c r="V76" s="10">
        <f t="shared" si="8"/>
        <v>0</v>
      </c>
      <c r="W76" s="10">
        <f t="shared" si="16"/>
        <v>0</v>
      </c>
      <c r="X76" s="10">
        <f t="shared" si="17"/>
        <v>6290019.7084628064</v>
      </c>
      <c r="Y76" s="94">
        <f t="shared" si="18"/>
        <v>125800.39416925613</v>
      </c>
      <c r="Z76" s="94">
        <f t="shared" si="19"/>
        <v>15255.000000000002</v>
      </c>
      <c r="AA76" s="95">
        <f t="shared" si="20"/>
        <v>29106.165551087575</v>
      </c>
      <c r="AB76" s="94">
        <f t="shared" si="21"/>
        <v>6780310.218131057</v>
      </c>
      <c r="AC76" s="10">
        <f t="shared" si="22"/>
        <v>490290.50966825057</v>
      </c>
      <c r="AD76" s="10">
        <f>SUM($AC$28:AC76)</f>
        <v>6600310.218131057</v>
      </c>
      <c r="AE76" s="94">
        <f t="shared" si="9"/>
        <v>6780.3102181310569</v>
      </c>
      <c r="AF76" s="94">
        <f t="shared" si="2"/>
        <v>0</v>
      </c>
      <c r="AG76" s="95">
        <f t="shared" si="24"/>
        <v>2772130.2916150438</v>
      </c>
      <c r="AH76" s="10">
        <f t="shared" si="23"/>
        <v>4001399.6162978821</v>
      </c>
      <c r="AO76" s="91"/>
      <c r="AP76" s="10"/>
      <c r="AQ76" s="73" t="str">
        <f t="shared" si="27"/>
        <v/>
      </c>
      <c r="AR76" s="79" t="str" cm="1">
        <f t="array" ref="AR76">IFERROR(INDEX($AQ$28:$AQ$78,_xlfn.AGGREGATE(15,3,ROW($AQ$28:$AQ$78)-ROW($AN$27)/($AQ$28:$AQ$78&lt;&gt;""),ROWS($AN$28:AN76))),"")</f>
        <v/>
      </c>
      <c r="AS76" s="73"/>
      <c r="AT76" s="73" t="str">
        <f t="shared" si="10"/>
        <v/>
      </c>
      <c r="AU76" s="84" t="str" cm="1">
        <f t="array" ref="AU76">IFERROR(INDEX($AT$28:$AT$78,_xlfn.AGGREGATE(15,3,ROW($AT$28:$AT$78)-ROW($AN$27)/($AT$28:$AT$78&lt;&gt;""),ROWS($AN$28:AN76))),"")</f>
        <v/>
      </c>
      <c r="AV76" s="10"/>
      <c r="AW76" s="10" t="str">
        <f t="shared" si="28"/>
        <v/>
      </c>
      <c r="AX76" s="89" t="str" cm="1">
        <f t="array" ref="AX76">IFERROR(INDEX($AW$28:$AW$78,_xlfn.AGGREGATE(15,3,ROW($AW$28:$AW$78)-ROW($AN$27)/($AW$28:$AW$78&lt;&gt;""),ROWS($AN$28:AN76))),"")</f>
        <v/>
      </c>
      <c r="AY76" s="10"/>
      <c r="AZ76" s="10" t="str">
        <f t="shared" si="11"/>
        <v/>
      </c>
      <c r="BA76" s="10" t="str" cm="1">
        <f t="array" ref="BA76">IFERROR(INDEX($AZ$28:$AZ$78,_xlfn.AGGREGATE(15,3,ROW($AZ$28:$AZ$78)-ROW($AN$27)/($AW$28:$AW$78&lt;&gt;""),ROWS($AN$28:AN76))),"")</f>
        <v/>
      </c>
      <c r="BB76" s="10"/>
      <c r="BC76" s="33"/>
    </row>
    <row r="77" spans="7:55">
      <c r="G77">
        <v>50</v>
      </c>
      <c r="H77" s="10">
        <f t="shared" si="30"/>
        <v>0</v>
      </c>
      <c r="I77" s="10">
        <f>SUM($H$28:H77)</f>
        <v>180000</v>
      </c>
      <c r="J77" s="10">
        <f t="shared" si="13"/>
        <v>0</v>
      </c>
      <c r="K77" s="10">
        <f t="shared" si="29"/>
        <v>5280847.848251041</v>
      </c>
      <c r="L77" s="10">
        <f t="shared" si="25"/>
        <v>5750843.3067453839</v>
      </c>
      <c r="M77" s="10">
        <f t="shared" si="26"/>
        <v>79899.227944038299</v>
      </c>
      <c r="N77" s="10">
        <f t="shared" si="15"/>
        <v>5670944.078801346</v>
      </c>
      <c r="O77" s="7">
        <f t="shared" si="6"/>
        <v>34025.664472808079</v>
      </c>
      <c r="P77" s="10">
        <f t="shared" si="7"/>
        <v>5636918.4143285379</v>
      </c>
      <c r="U77">
        <v>50</v>
      </c>
      <c r="V77" s="10">
        <f t="shared" si="8"/>
        <v>0</v>
      </c>
      <c r="W77" s="10">
        <f t="shared" si="16"/>
        <v>0</v>
      </c>
      <c r="X77" s="10">
        <f t="shared" si="17"/>
        <v>6780310.218131057</v>
      </c>
      <c r="Y77" s="94">
        <f t="shared" si="18"/>
        <v>135606.20436262115</v>
      </c>
      <c r="Z77" s="94">
        <f t="shared" si="19"/>
        <v>15255.000000000002</v>
      </c>
      <c r="AA77" s="95">
        <f t="shared" si="20"/>
        <v>33224.605832300884</v>
      </c>
      <c r="AB77" s="94">
        <f t="shared" si="21"/>
        <v>7308156.980839896</v>
      </c>
      <c r="AC77" s="10">
        <f t="shared" si="22"/>
        <v>527846.76270883903</v>
      </c>
      <c r="AD77" s="10">
        <f>SUM($AC$28:AC77)</f>
        <v>7128156.980839896</v>
      </c>
      <c r="AE77" s="94">
        <f t="shared" si="9"/>
        <v>7308.1569808398963</v>
      </c>
      <c r="AF77" s="94">
        <f t="shared" si="2"/>
        <v>0</v>
      </c>
      <c r="AG77" s="95">
        <f t="shared" si="24"/>
        <v>2993825.9319527564</v>
      </c>
      <c r="AH77" s="10">
        <f t="shared" si="23"/>
        <v>4307022.8919063006</v>
      </c>
      <c r="AO77" s="91"/>
      <c r="AP77" s="10"/>
      <c r="AQ77" s="73" t="str">
        <f t="shared" si="27"/>
        <v/>
      </c>
      <c r="AR77" s="79" t="str" cm="1">
        <f t="array" ref="AR77">IFERROR(INDEX($AQ$28:$AQ$78,_xlfn.AGGREGATE(15,3,ROW($AQ$28:$AQ$78)-ROW($AN$27)/($AQ$28:$AQ$78&lt;&gt;""),ROWS($AN$28:AN77))),"")</f>
        <v/>
      </c>
      <c r="AS77" s="73"/>
      <c r="AT77" s="73" t="str">
        <f t="shared" si="10"/>
        <v/>
      </c>
      <c r="AU77" s="84" t="str" cm="1">
        <f t="array" ref="AU77">IFERROR(INDEX($AT$28:$AT$78,_xlfn.AGGREGATE(15,3,ROW($AT$28:$AT$78)-ROW($AN$27)/($AT$28:$AT$78&lt;&gt;""),ROWS($AN$28:AN77))),"")</f>
        <v/>
      </c>
      <c r="AV77" s="10"/>
      <c r="AW77" s="10" t="str">
        <f t="shared" si="28"/>
        <v/>
      </c>
      <c r="AX77" s="89" t="str" cm="1">
        <f t="array" ref="AX77">IFERROR(INDEX($AW$28:$AW$78,_xlfn.AGGREGATE(15,3,ROW($AW$28:$AW$78)-ROW($AN$27)/($AW$28:$AW$78&lt;&gt;""),ROWS($AN$28:AN77))),"")</f>
        <v/>
      </c>
      <c r="AY77" s="10"/>
      <c r="AZ77" s="10" t="str">
        <f t="shared" si="11"/>
        <v/>
      </c>
      <c r="BA77" s="10" t="str" cm="1">
        <f t="array" ref="BA77">IFERROR(INDEX($AZ$28:$AZ$78,_xlfn.AGGREGATE(15,3,ROW($AZ$28:$AZ$78)-ROW($AN$27)/($AW$28:$AW$78&lt;&gt;""),ROWS($AN$28:AN77))),"")</f>
        <v/>
      </c>
      <c r="BB77" s="10"/>
      <c r="BC77" s="33"/>
    </row>
    <row r="78" spans="7:55">
      <c r="G78">
        <v>51</v>
      </c>
      <c r="H78" s="10">
        <f t="shared" si="30"/>
        <v>0</v>
      </c>
      <c r="I78" s="10">
        <f>SUM($H$28:H78)</f>
        <v>180000</v>
      </c>
      <c r="J78" s="10">
        <f t="shared" si="13"/>
        <v>0</v>
      </c>
      <c r="K78" s="10">
        <f t="shared" si="29"/>
        <v>5670944.078801346</v>
      </c>
      <c r="L78" s="10">
        <f t="shared" si="25"/>
        <v>6175658.1018146658</v>
      </c>
      <c r="M78" s="10">
        <f t="shared" si="26"/>
        <v>85801.383912264369</v>
      </c>
      <c r="N78" s="10">
        <f t="shared" si="15"/>
        <v>6089856.7179024015</v>
      </c>
      <c r="O78" s="7">
        <f t="shared" si="6"/>
        <v>36539.140307414411</v>
      </c>
      <c r="P78" s="10">
        <f t="shared" si="7"/>
        <v>6053317.5775949871</v>
      </c>
      <c r="U78">
        <v>51</v>
      </c>
      <c r="V78" s="10">
        <f t="shared" si="8"/>
        <v>0</v>
      </c>
      <c r="W78" s="10">
        <f t="shared" si="16"/>
        <v>0</v>
      </c>
      <c r="X78" s="10">
        <f t="shared" si="17"/>
        <v>7308156.980839896</v>
      </c>
      <c r="Y78" s="94">
        <f t="shared" si="18"/>
        <v>146163.13961679791</v>
      </c>
      <c r="Z78" s="94">
        <f t="shared" si="19"/>
        <v>15255.000000000002</v>
      </c>
      <c r="AA78" s="95">
        <f t="shared" si="20"/>
        <v>37658.518639055124</v>
      </c>
      <c r="AB78" s="94">
        <f t="shared" si="21"/>
        <v>7876436.8055722313</v>
      </c>
      <c r="AC78" s="10">
        <f t="shared" si="22"/>
        <v>568279.82473233528</v>
      </c>
      <c r="AD78" s="10">
        <f>SUM($AC$28:AC78)</f>
        <v>7696436.8055722313</v>
      </c>
      <c r="AE78" s="94">
        <f t="shared" si="9"/>
        <v>7876.4368055722316</v>
      </c>
      <c r="AF78" s="94">
        <f t="shared" si="2"/>
        <v>0</v>
      </c>
      <c r="AG78" s="95">
        <f t="shared" si="24"/>
        <v>3232503.458340337</v>
      </c>
      <c r="AH78" s="10">
        <f t="shared" si="23"/>
        <v>4636056.9104263224</v>
      </c>
      <c r="AO78" s="10"/>
      <c r="AP78" s="10"/>
      <c r="AQ78" s="73" t="str">
        <f t="shared" si="27"/>
        <v/>
      </c>
      <c r="AR78" s="73" t="str" cm="1">
        <f t="array" ref="AR78">IFERROR(INDEX($AQ$28:$AQ$78,_xlfn.AGGREGATE(15,3,ROW($AQ$28:$AQ$78)-ROW($AN$27)/($AQ$28:$AQ$78&lt;&gt;""),ROWS($AN$28:AN78))),"")</f>
        <v/>
      </c>
      <c r="AS78" s="73"/>
      <c r="AT78" s="73"/>
      <c r="AU78" s="73"/>
      <c r="AV78" s="10"/>
      <c r="AW78" s="10" t="str">
        <f t="shared" si="28"/>
        <v/>
      </c>
      <c r="AX78" s="10" t="str" cm="1">
        <f t="array" ref="AX78">IFERROR(INDEX($AW$28:$AW$78,_xlfn.AGGREGATE(15,3,ROW($AW$28:$AW$78)-ROW($AN$27)/($AW$28:$AW$78&lt;&gt;""),ROWS($AN$28:AN78))),"")</f>
        <v/>
      </c>
      <c r="AY78" s="10"/>
      <c r="AZ78" s="10" t="str">
        <f>IF(AND(ISBLANK(AY78),ISBLANK(AY77)),"",IF(ISBLANK(AY78),$B$33,AY78))</f>
        <v/>
      </c>
      <c r="BA78" s="10" t="str" cm="1">
        <f t="array" ref="BA78">IFERROR(INDEX($AZ$28:$AZ$78,_xlfn.AGGREGATE(15,3,ROW($AZ$28:$AZ$78)-ROW($AN$27)/($AW$28:$AW$78&lt;&gt;""),ROWS($AN$28:AN78))),"")</f>
        <v/>
      </c>
      <c r="BB78" s="10"/>
      <c r="BC78" s="33"/>
    </row>
    <row r="79" spans="7:55">
      <c r="AY79" s="12"/>
      <c r="BC79" s="10"/>
    </row>
    <row r="80" spans="7:55">
      <c r="AY80" s="12"/>
      <c r="BC80" s="10"/>
    </row>
    <row r="81" spans="2:55">
      <c r="AY81" s="12"/>
      <c r="BC81" s="10"/>
    </row>
    <row r="82" spans="2:55" ht="15.75" thickBot="1">
      <c r="BC82" s="10"/>
    </row>
    <row r="83" spans="2:55" ht="26.25" customHeight="1">
      <c r="G83" s="110" t="s">
        <v>87</v>
      </c>
      <c r="H83" s="111"/>
      <c r="I83" s="112"/>
      <c r="J83" s="15"/>
      <c r="K83" s="10"/>
      <c r="L83" s="10"/>
      <c r="M83" s="10"/>
      <c r="N83" s="10"/>
      <c r="O83" s="10"/>
      <c r="P83" s="10"/>
      <c r="U83" s="110" t="s">
        <v>88</v>
      </c>
      <c r="V83" s="111"/>
      <c r="W83" s="112"/>
      <c r="BC83" s="10"/>
    </row>
    <row r="84" spans="2:55">
      <c r="G84" s="113"/>
      <c r="H84" s="114"/>
      <c r="I84" s="115"/>
      <c r="K84" s="7"/>
      <c r="L84" s="7"/>
      <c r="M84" s="7"/>
      <c r="N84" s="7"/>
      <c r="O84" s="7"/>
      <c r="P84" s="7"/>
      <c r="U84" s="113"/>
      <c r="V84" s="114"/>
      <c r="W84" s="115"/>
      <c r="BC84" s="10"/>
    </row>
    <row r="85" spans="2:55" ht="15.75" thickBot="1">
      <c r="G85" s="116"/>
      <c r="H85" s="117"/>
      <c r="I85" s="118"/>
      <c r="U85" s="116"/>
      <c r="V85" s="117"/>
      <c r="W85" s="118"/>
      <c r="Y85" s="9"/>
      <c r="Z85" s="9"/>
      <c r="BC85" s="10"/>
    </row>
    <row r="86" spans="2:55" ht="15.75">
      <c r="G86" s="5" t="s">
        <v>25</v>
      </c>
      <c r="H86" s="122">
        <f>$E$31</f>
        <v>0</v>
      </c>
      <c r="I86" s="123"/>
      <c r="J86" s="7"/>
      <c r="K86" s="7"/>
      <c r="L86" s="7"/>
      <c r="M86" s="7"/>
      <c r="N86" s="7"/>
      <c r="O86" s="7"/>
      <c r="P86" s="7"/>
      <c r="U86" s="5" t="s">
        <v>25</v>
      </c>
      <c r="V86" s="122">
        <f>$E$31</f>
        <v>0</v>
      </c>
      <c r="W86" s="123"/>
      <c r="Z86" s="9"/>
      <c r="BC86" s="10"/>
    </row>
    <row r="87" spans="2:55" ht="15.75">
      <c r="G87" s="1" t="s">
        <v>27</v>
      </c>
      <c r="H87" s="124">
        <f>$E$32</f>
        <v>7500</v>
      </c>
      <c r="I87" s="125"/>
      <c r="J87" s="7"/>
      <c r="U87" s="1" t="s">
        <v>27</v>
      </c>
      <c r="V87" s="124">
        <f>$E$32</f>
        <v>7500</v>
      </c>
      <c r="W87" s="125"/>
      <c r="X87" s="7"/>
      <c r="Y87" s="24"/>
      <c r="Z87" s="24"/>
      <c r="BC87" s="10"/>
    </row>
    <row r="88" spans="2:55" ht="16.5" customHeight="1">
      <c r="G88" s="2" t="s">
        <v>32</v>
      </c>
      <c r="H88" s="126">
        <f>$B$17</f>
        <v>0.09</v>
      </c>
      <c r="I88" s="127"/>
      <c r="J88" s="7"/>
      <c r="U88" s="2" t="s">
        <v>32</v>
      </c>
      <c r="V88" s="126">
        <f>$D$17</f>
        <v>7.0000000000000007E-2</v>
      </c>
      <c r="W88" s="127"/>
      <c r="Y88" s="7"/>
      <c r="AW88" s="10"/>
      <c r="AX88" s="10"/>
      <c r="AY88" s="10"/>
      <c r="AZ88" s="10"/>
      <c r="BA88" s="10"/>
    </row>
    <row r="89" spans="2:55" ht="19.5" customHeight="1">
      <c r="G89" s="2" t="s">
        <v>34</v>
      </c>
      <c r="H89" s="126">
        <f>$B$16</f>
        <v>0</v>
      </c>
      <c r="I89" s="127"/>
      <c r="J89" s="7"/>
      <c r="K89" s="20"/>
      <c r="L89" s="20"/>
      <c r="M89" s="20"/>
      <c r="N89" s="20"/>
      <c r="O89" s="20"/>
      <c r="P89" s="20"/>
      <c r="U89" s="2" t="s">
        <v>34</v>
      </c>
      <c r="V89" s="126">
        <f>$D$16</f>
        <v>0.02</v>
      </c>
      <c r="W89" s="127"/>
      <c r="AW89" s="10"/>
      <c r="AX89" s="10"/>
      <c r="AY89" s="10"/>
      <c r="AZ89" s="10"/>
      <c r="BA89" s="10"/>
    </row>
    <row r="90" spans="2:55" ht="15.75">
      <c r="G90" s="3" t="s">
        <v>36</v>
      </c>
      <c r="H90" s="6">
        <f>D22</f>
        <v>1.5E-3</v>
      </c>
      <c r="I90" s="11">
        <f>E22</f>
        <v>90</v>
      </c>
      <c r="U90" s="3" t="s">
        <v>36</v>
      </c>
      <c r="V90" s="6">
        <f>$B$21</f>
        <v>1E-3</v>
      </c>
      <c r="W90" s="11">
        <f>$C$21</f>
        <v>20</v>
      </c>
      <c r="Y90" s="24"/>
      <c r="Z90" s="24"/>
      <c r="AA90" s="24"/>
      <c r="AW90" s="10"/>
      <c r="AX90" s="10"/>
      <c r="AY90" s="10"/>
      <c r="AZ90" s="10"/>
      <c r="BA90" s="10"/>
    </row>
    <row r="91" spans="2:55" ht="20.25" customHeight="1">
      <c r="G91" s="3" t="s">
        <v>37</v>
      </c>
      <c r="H91" s="6">
        <f>D22</f>
        <v>1.5E-3</v>
      </c>
      <c r="I91" s="11">
        <f>E22</f>
        <v>90</v>
      </c>
      <c r="U91" s="3" t="s">
        <v>37</v>
      </c>
      <c r="V91" s="6">
        <f>$B$21</f>
        <v>1E-3</v>
      </c>
      <c r="W91" s="11">
        <f>$C$21</f>
        <v>20</v>
      </c>
      <c r="Y91" s="24"/>
      <c r="Z91" s="24"/>
      <c r="AA91" s="24"/>
      <c r="AW91" s="10"/>
      <c r="AX91" s="10"/>
      <c r="AY91" s="10"/>
      <c r="AZ91" s="10"/>
    </row>
    <row r="92" spans="2:55" ht="20.25" customHeight="1">
      <c r="G92" s="3" t="s">
        <v>41</v>
      </c>
      <c r="H92" s="133">
        <f>$D$25</f>
        <v>2.5000000000000001E-3</v>
      </c>
      <c r="I92" s="134"/>
      <c r="J92" s="10"/>
      <c r="U92" s="3" t="s">
        <v>41</v>
      </c>
      <c r="V92" s="133">
        <f>$B$25</f>
        <v>5.0000000000000001E-3</v>
      </c>
      <c r="W92" s="134"/>
      <c r="X92" s="7"/>
      <c r="Y92" s="24"/>
      <c r="Z92" s="24"/>
      <c r="AA92" s="24"/>
      <c r="AW92" s="10"/>
      <c r="AX92" s="10"/>
      <c r="AY92" s="10"/>
      <c r="AZ92" s="10"/>
    </row>
    <row r="93" spans="2:55" ht="18.75" customHeight="1">
      <c r="G93" s="3" t="s">
        <v>43</v>
      </c>
      <c r="H93" s="6">
        <f>$D$25</f>
        <v>2.5000000000000001E-3</v>
      </c>
      <c r="I93" s="13" t="s">
        <v>44</v>
      </c>
      <c r="J93" s="10"/>
      <c r="U93" s="3" t="s">
        <v>43</v>
      </c>
      <c r="V93" s="6">
        <f>$B$25</f>
        <v>5.0000000000000001E-3</v>
      </c>
      <c r="W93" s="13" t="s">
        <v>44</v>
      </c>
      <c r="X93" s="7"/>
      <c r="Y93" s="7"/>
    </row>
    <row r="94" spans="2:55" ht="15.75">
      <c r="G94" s="3" t="s">
        <v>46</v>
      </c>
      <c r="H94" s="6">
        <f>$B$10</f>
        <v>1E-3</v>
      </c>
      <c r="I94" s="16">
        <f>(IF($H$87= 0, 0, MAX($I$90,$H$87*$H$90) +$H$87*$H$92))</f>
        <v>108.75</v>
      </c>
      <c r="U94" s="3" t="s">
        <v>46</v>
      </c>
      <c r="V94" s="6">
        <v>0</v>
      </c>
      <c r="W94" s="16">
        <f>(IF($V$87= 0, 0, MAX($W$90,$V$87*$V$90) +$V$87*$V$92))</f>
        <v>57.5</v>
      </c>
      <c r="X94" s="7"/>
      <c r="Y94" s="7"/>
    </row>
    <row r="95" spans="2:55" ht="15.75">
      <c r="B95" s="92"/>
      <c r="G95" s="4" t="s">
        <v>48</v>
      </c>
      <c r="H95" s="17" t="s">
        <v>49</v>
      </c>
      <c r="I95" s="18" t="s">
        <v>50</v>
      </c>
      <c r="K95" s="7"/>
      <c r="L95" s="7"/>
      <c r="M95" s="7"/>
      <c r="N95" s="7"/>
      <c r="O95" s="7"/>
      <c r="P95" s="7"/>
      <c r="U95" s="4" t="s">
        <v>48</v>
      </c>
      <c r="V95" s="14" t="s">
        <v>51</v>
      </c>
      <c r="W95" s="18" t="s">
        <v>50</v>
      </c>
      <c r="X95" s="10"/>
      <c r="Y95" s="10"/>
    </row>
    <row r="96" spans="2:55" ht="15.75">
      <c r="G96" s="4" t="s">
        <v>52</v>
      </c>
      <c r="H96" s="14">
        <f>$B$12</f>
        <v>0.17</v>
      </c>
      <c r="I96" s="19">
        <f>(IF($H$86= 0, 0, MAX($I$90,$H$86*$H$90) +$H$86*$H$92))</f>
        <v>0</v>
      </c>
      <c r="K96" s="7"/>
      <c r="L96" s="7"/>
      <c r="M96" s="7"/>
      <c r="N96" s="7"/>
      <c r="O96" s="7"/>
      <c r="P96" s="7"/>
      <c r="U96" s="4" t="s">
        <v>52</v>
      </c>
      <c r="V96" s="14">
        <f>$D$12</f>
        <v>0.27</v>
      </c>
      <c r="W96" s="19">
        <f>(IF($V$86= 0, 0, MAX($W$90,$V$86*$V$90) +$V$86*$V$92))</f>
        <v>0</v>
      </c>
    </row>
    <row r="97" spans="7:34" ht="15.75">
      <c r="G97" s="4" t="s">
        <v>54</v>
      </c>
      <c r="H97" s="131">
        <f>$B$13</f>
        <v>0.17</v>
      </c>
      <c r="I97" s="132"/>
      <c r="K97" s="7"/>
      <c r="L97" s="7"/>
      <c r="M97" s="7"/>
      <c r="N97" s="7"/>
      <c r="O97" s="7"/>
      <c r="P97" s="7"/>
      <c r="U97" s="4" t="s">
        <v>54</v>
      </c>
      <c r="V97" s="131">
        <f>$D$13</f>
        <v>0.42</v>
      </c>
      <c r="W97" s="132"/>
    </row>
    <row r="98" spans="7:34" ht="15.75">
      <c r="G98" s="4" t="s">
        <v>56</v>
      </c>
      <c r="H98" s="128">
        <f>$B$14</f>
        <v>102300</v>
      </c>
      <c r="I98" s="129"/>
      <c r="U98" s="4" t="s">
        <v>57</v>
      </c>
      <c r="V98" s="128">
        <f>$D$14</f>
        <v>56500</v>
      </c>
      <c r="W98" s="129"/>
    </row>
    <row r="99" spans="7:34" ht="23.25">
      <c r="O99" s="98" t="s">
        <v>59</v>
      </c>
      <c r="P99" s="99"/>
      <c r="Q99" s="93"/>
      <c r="R99" s="93"/>
      <c r="X99" s="25"/>
      <c r="Y99" s="25"/>
      <c r="Z99" s="25"/>
      <c r="AE99" s="98" t="s">
        <v>59</v>
      </c>
      <c r="AF99" s="130"/>
      <c r="AG99" s="130"/>
      <c r="AH99" s="99"/>
    </row>
    <row r="100" spans="7:34" ht="23.25">
      <c r="G100" s="8" t="s">
        <v>60</v>
      </c>
      <c r="H100" s="8" t="s">
        <v>61</v>
      </c>
      <c r="I100" s="8" t="s">
        <v>62</v>
      </c>
      <c r="J100" s="8" t="s">
        <v>63</v>
      </c>
      <c r="K100" s="8" t="s">
        <v>64</v>
      </c>
      <c r="L100" s="8" t="s">
        <v>65</v>
      </c>
      <c r="M100" s="8" t="s">
        <v>66</v>
      </c>
      <c r="N100" s="8" t="s">
        <v>67</v>
      </c>
      <c r="O100" s="8" t="s">
        <v>68</v>
      </c>
      <c r="P100" s="8" t="s">
        <v>69</v>
      </c>
      <c r="U100" s="8" t="s">
        <v>60</v>
      </c>
      <c r="V100" s="8" t="s">
        <v>61</v>
      </c>
      <c r="W100" s="8" t="s">
        <v>63</v>
      </c>
      <c r="X100" s="8" t="s">
        <v>64</v>
      </c>
      <c r="Y100" s="8" t="s">
        <v>70</v>
      </c>
      <c r="Z100" s="8" t="s">
        <v>71</v>
      </c>
      <c r="AA100" s="8" t="s">
        <v>72</v>
      </c>
      <c r="AB100" s="8" t="s">
        <v>73</v>
      </c>
      <c r="AC100" s="8" t="s">
        <v>74</v>
      </c>
      <c r="AD100" s="8" t="s">
        <v>75</v>
      </c>
      <c r="AE100" s="8" t="s">
        <v>68</v>
      </c>
      <c r="AF100" s="8" t="s">
        <v>76</v>
      </c>
      <c r="AG100" s="8" t="s">
        <v>77</v>
      </c>
      <c r="AH100" s="8" t="s">
        <v>78</v>
      </c>
    </row>
    <row r="101" spans="7:34">
      <c r="G101">
        <v>1</v>
      </c>
      <c r="H101" s="10">
        <f>H28</f>
        <v>0</v>
      </c>
      <c r="I101" s="10">
        <f>SUM($H$101:H101)</f>
        <v>0</v>
      </c>
      <c r="J101" s="10">
        <f>H101-IF(H101=0,0,$I$96)</f>
        <v>0</v>
      </c>
      <c r="K101" s="10">
        <f>J101</f>
        <v>0</v>
      </c>
      <c r="L101" s="10">
        <f>(K101*($H$88-$H$94+1)^($G$101))</f>
        <v>0</v>
      </c>
      <c r="M101" s="10">
        <f>(L101-K101)*$H$96</f>
        <v>0</v>
      </c>
      <c r="N101" s="10">
        <f>L101-M101</f>
        <v>0</v>
      </c>
      <c r="O101" s="7">
        <f>MAX($I$91,$H$91*N101)+N101*$H$93</f>
        <v>90</v>
      </c>
      <c r="P101" s="10">
        <f>N101-O101</f>
        <v>-90</v>
      </c>
      <c r="U101">
        <v>1</v>
      </c>
      <c r="V101" s="10">
        <f>H101</f>
        <v>0</v>
      </c>
      <c r="W101" s="10">
        <f>V101-IF(V101=0,0,$W$96)</f>
        <v>0</v>
      </c>
      <c r="X101" s="10">
        <f>$W$101</f>
        <v>0</v>
      </c>
      <c r="Y101" s="96">
        <f>X101*$V$89</f>
        <v>0</v>
      </c>
      <c r="Z101" s="96">
        <f>IF(Y101&gt;=$V$98,$V$98*$V$96,Y101*$V$96)</f>
        <v>0</v>
      </c>
      <c r="AA101" s="97">
        <f>IF(Y101&gt;=$V$98,(Y101-$V$98)*$V$97,0)</f>
        <v>0</v>
      </c>
      <c r="AB101" s="96">
        <f>(X101*($V$88-$V$94+1)^($U$101)) + (Y101-Z101-AA101)</f>
        <v>0</v>
      </c>
      <c r="AC101" s="10">
        <f>AB101-X101</f>
        <v>0</v>
      </c>
      <c r="AD101" s="10">
        <f>SUM($AC$101:AC101)</f>
        <v>0</v>
      </c>
      <c r="AE101" s="96">
        <f>MAX($W$91,$V$91*AB101)+AB101*$V$93</f>
        <v>20</v>
      </c>
      <c r="AF101" s="96">
        <f>IF(Y101+AD101&gt;=$V$98,MAX($V$98-Y101,0)*$V$96,AD101*$V$96)</f>
        <v>0</v>
      </c>
      <c r="AG101" s="97">
        <f>IF(Y101+AD101&gt;=$V$98,(AD101-MAX($V$98-Y101, 0))*$V$97,0)</f>
        <v>0</v>
      </c>
      <c r="AH101" s="10">
        <f>AB101-AE101-AF101-AG101</f>
        <v>-20</v>
      </c>
    </row>
    <row r="102" spans="7:34">
      <c r="G102">
        <v>2</v>
      </c>
      <c r="H102" s="10">
        <f t="shared" ref="H102:H151" si="31">H29</f>
        <v>90000</v>
      </c>
      <c r="I102" s="10">
        <f>SUM($H$101:H102)</f>
        <v>90000</v>
      </c>
      <c r="J102" s="10">
        <f>H102-IF(H102=0,0,$I$94*12)</f>
        <v>88695</v>
      </c>
      <c r="K102" s="10">
        <f>N101+J102</f>
        <v>88695</v>
      </c>
      <c r="L102" s="10">
        <f t="shared" ref="L102:L151" si="32">(K102*($H$88-$H$94+1)^($G$101))</f>
        <v>96588.854999999996</v>
      </c>
      <c r="M102" s="10">
        <f t="shared" ref="M102:M151" si="33">(L102-K102)*$H$96</f>
        <v>1341.9553499999995</v>
      </c>
      <c r="N102" s="10">
        <f>L102-M102</f>
        <v>95246.899649999992</v>
      </c>
      <c r="O102" s="7">
        <f t="shared" ref="O102:O151" si="34">MAX($I$91,$H$91*N102)+N102*$H$93</f>
        <v>380.98759859999996</v>
      </c>
      <c r="P102" s="10">
        <f t="shared" ref="P102:P151" si="35">N102-O102</f>
        <v>94865.912051399995</v>
      </c>
      <c r="U102">
        <v>2</v>
      </c>
      <c r="V102" s="10">
        <f t="shared" ref="V102:V151" si="36">H102</f>
        <v>90000</v>
      </c>
      <c r="W102" s="10">
        <f>V102-IF(V102=0,0,$W$94*12)</f>
        <v>89310</v>
      </c>
      <c r="X102" s="10">
        <f>AB101+W102</f>
        <v>89310</v>
      </c>
      <c r="Y102" s="96">
        <f t="shared" ref="Y102:Y151" si="37">X102*$V$89</f>
        <v>1786.2</v>
      </c>
      <c r="Z102" s="96">
        <f t="shared" ref="Z102:Z151" si="38">IF(Y102&gt;=$V$98,$V$98*$V$96,Y102*$V$96)</f>
        <v>482.27400000000006</v>
      </c>
      <c r="AA102" s="97">
        <f t="shared" ref="AA102:AA151" si="39">IF(Y102&gt;=$V$98,(Y102-$V$98)*$V$97,0)</f>
        <v>0</v>
      </c>
      <c r="AB102" s="96">
        <f t="shared" ref="AB102:AB151" si="40">(X102*($V$88-$V$94+1)^($U$101)) + (Y102-Z102-AA102)</f>
        <v>96865.626000000018</v>
      </c>
      <c r="AC102" s="10">
        <f>AB102-X102</f>
        <v>7555.6260000000184</v>
      </c>
      <c r="AD102" s="10">
        <f>SUM($AC$101:AC102)</f>
        <v>7555.6260000000184</v>
      </c>
      <c r="AE102" s="96">
        <f t="shared" ref="AE102:AE151" si="41">MAX($W$91,$V$91*AB102)+AB102*$V$93</f>
        <v>581.19375600000012</v>
      </c>
      <c r="AF102" s="96">
        <f t="shared" ref="AF102:AF151" si="42">IF(Y102+AD102&gt;=$V$98,MAX($V$98-Y102,0)*$V$96,AD102*$V$96)</f>
        <v>2040.0190200000052</v>
      </c>
      <c r="AG102" s="97">
        <f t="shared" ref="AG102:AG151" si="43">IF(Y102+AD102&gt;=$V$98,(AD102-MAX($V$98-Y102, 0))*$V$97,0)</f>
        <v>0</v>
      </c>
      <c r="AH102" s="10">
        <f>AB102-AE102-AF102-AG102</f>
        <v>94244.413224000018</v>
      </c>
    </row>
    <row r="103" spans="7:34">
      <c r="G103">
        <v>3</v>
      </c>
      <c r="H103" s="10">
        <f t="shared" si="31"/>
        <v>90000</v>
      </c>
      <c r="I103" s="10">
        <f>SUM($H$101:H103)</f>
        <v>180000</v>
      </c>
      <c r="J103" s="10">
        <f t="shared" ref="J103:J151" si="44">H103-IF(H103=0,0,$I$94*12)</f>
        <v>88695</v>
      </c>
      <c r="K103" s="10">
        <f t="shared" ref="K103:K151" si="45">N102+J103</f>
        <v>183941.89964999998</v>
      </c>
      <c r="L103" s="10">
        <f t="shared" si="32"/>
        <v>200312.72871884998</v>
      </c>
      <c r="M103" s="10">
        <f t="shared" si="33"/>
        <v>2783.0409417044998</v>
      </c>
      <c r="N103" s="10">
        <f t="shared" ref="N103:N151" si="46">L103-M103</f>
        <v>197529.68777714547</v>
      </c>
      <c r="O103" s="7">
        <f t="shared" si="34"/>
        <v>790.11875110858193</v>
      </c>
      <c r="P103" s="10">
        <f t="shared" si="35"/>
        <v>196739.56902603689</v>
      </c>
      <c r="U103">
        <v>3</v>
      </c>
      <c r="V103" s="10">
        <f t="shared" si="36"/>
        <v>90000</v>
      </c>
      <c r="W103" s="10">
        <f t="shared" ref="W103:W151" si="47">V103-IF(V103=0,0,$W$94*12)</f>
        <v>89310</v>
      </c>
      <c r="X103" s="10">
        <f>AB102+W103</f>
        <v>186175.62600000002</v>
      </c>
      <c r="Y103" s="96">
        <f t="shared" si="37"/>
        <v>3723.5125200000002</v>
      </c>
      <c r="Z103" s="96">
        <f t="shared" si="38"/>
        <v>1005.3483804000001</v>
      </c>
      <c r="AA103" s="97">
        <f t="shared" si="39"/>
        <v>0</v>
      </c>
      <c r="AB103" s="96">
        <f t="shared" si="40"/>
        <v>201926.08395960004</v>
      </c>
      <c r="AC103" s="10">
        <f>AB103-X103</f>
        <v>15750.457959600026</v>
      </c>
      <c r="AD103" s="10">
        <f>SUM($AC$101:AC103)</f>
        <v>23306.083959600044</v>
      </c>
      <c r="AE103" s="96">
        <f t="shared" si="41"/>
        <v>1211.5565037576002</v>
      </c>
      <c r="AF103" s="96">
        <f t="shared" si="42"/>
        <v>6292.6426690920125</v>
      </c>
      <c r="AG103" s="97">
        <f t="shared" si="43"/>
        <v>0</v>
      </c>
      <c r="AH103" s="10">
        <f>AB103-AE103-AF103-AG103</f>
        <v>194421.88478675042</v>
      </c>
    </row>
    <row r="104" spans="7:34">
      <c r="G104">
        <v>4</v>
      </c>
      <c r="H104" s="10">
        <f t="shared" si="31"/>
        <v>0</v>
      </c>
      <c r="I104" s="10">
        <f>SUM($H$101:H104)</f>
        <v>180000</v>
      </c>
      <c r="J104" s="10">
        <f t="shared" si="44"/>
        <v>0</v>
      </c>
      <c r="K104" s="10">
        <f t="shared" si="45"/>
        <v>197529.68777714547</v>
      </c>
      <c r="L104" s="10">
        <f t="shared" si="32"/>
        <v>215109.8299893114</v>
      </c>
      <c r="M104" s="10">
        <f t="shared" si="33"/>
        <v>2988.6241760682078</v>
      </c>
      <c r="N104" s="10">
        <f t="shared" si="46"/>
        <v>212121.2058132432</v>
      </c>
      <c r="O104" s="7">
        <f t="shared" si="34"/>
        <v>848.48482325297277</v>
      </c>
      <c r="P104" s="10">
        <f t="shared" si="35"/>
        <v>211272.72098999022</v>
      </c>
      <c r="U104">
        <v>4</v>
      </c>
      <c r="V104" s="10">
        <f t="shared" si="36"/>
        <v>0</v>
      </c>
      <c r="W104" s="10">
        <f t="shared" si="47"/>
        <v>0</v>
      </c>
      <c r="X104" s="10">
        <f t="shared" ref="X104:X151" si="48">AB103+W104</f>
        <v>201926.08395960004</v>
      </c>
      <c r="Y104" s="96">
        <f t="shared" si="37"/>
        <v>4038.5216791920011</v>
      </c>
      <c r="Z104" s="96">
        <f t="shared" si="38"/>
        <v>1090.4008533818403</v>
      </c>
      <c r="AA104" s="97">
        <f t="shared" si="39"/>
        <v>0</v>
      </c>
      <c r="AB104" s="96">
        <f t="shared" si="40"/>
        <v>219009.03066258223</v>
      </c>
      <c r="AC104" s="10">
        <f t="shared" ref="AC104:AC151" si="49">AB104-X104</f>
        <v>17082.946702982183</v>
      </c>
      <c r="AD104" s="10">
        <f>SUM($AC$101:AC104)</f>
        <v>40389.030662582227</v>
      </c>
      <c r="AE104" s="96">
        <f t="shared" si="41"/>
        <v>1314.0541839754935</v>
      </c>
      <c r="AF104" s="96">
        <f t="shared" si="42"/>
        <v>10905.038278897202</v>
      </c>
      <c r="AG104" s="97">
        <f t="shared" si="43"/>
        <v>0</v>
      </c>
      <c r="AH104" s="10">
        <f t="shared" ref="AH104:AH151" si="50">AB104-AE104-AF104-AG104</f>
        <v>206789.93819970952</v>
      </c>
    </row>
    <row r="105" spans="7:34">
      <c r="G105">
        <v>5</v>
      </c>
      <c r="H105" s="10">
        <f t="shared" si="31"/>
        <v>0</v>
      </c>
      <c r="I105" s="10">
        <f>SUM($H$101:H105)</f>
        <v>180000</v>
      </c>
      <c r="J105" s="10">
        <f t="shared" si="44"/>
        <v>0</v>
      </c>
      <c r="K105" s="10">
        <f t="shared" si="45"/>
        <v>212121.2058132432</v>
      </c>
      <c r="L105" s="10">
        <f t="shared" si="32"/>
        <v>230999.99313062185</v>
      </c>
      <c r="M105" s="10">
        <f t="shared" si="33"/>
        <v>3209.3938439543708</v>
      </c>
      <c r="N105" s="10">
        <f t="shared" si="46"/>
        <v>227790.59928666748</v>
      </c>
      <c r="O105" s="7">
        <f t="shared" si="34"/>
        <v>911.16239714666995</v>
      </c>
      <c r="P105" s="10">
        <f t="shared" si="35"/>
        <v>226879.43688952082</v>
      </c>
      <c r="U105">
        <v>5</v>
      </c>
      <c r="V105" s="10">
        <f t="shared" si="36"/>
        <v>0</v>
      </c>
      <c r="W105" s="10">
        <f t="shared" si="47"/>
        <v>0</v>
      </c>
      <c r="X105" s="10">
        <f t="shared" si="48"/>
        <v>219009.03066258223</v>
      </c>
      <c r="Y105" s="96">
        <f t="shared" si="37"/>
        <v>4380.1806132516449</v>
      </c>
      <c r="Z105" s="96">
        <f t="shared" si="38"/>
        <v>1182.6487655779442</v>
      </c>
      <c r="AA105" s="97">
        <f t="shared" si="39"/>
        <v>0</v>
      </c>
      <c r="AB105" s="96">
        <f t="shared" si="40"/>
        <v>237537.19465663671</v>
      </c>
      <c r="AC105" s="10">
        <f t="shared" si="49"/>
        <v>18528.163994054485</v>
      </c>
      <c r="AD105" s="10">
        <f>SUM($AC$101:AC105)</f>
        <v>58917.194656636711</v>
      </c>
      <c r="AE105" s="96">
        <f t="shared" si="41"/>
        <v>1425.2231679398203</v>
      </c>
      <c r="AF105" s="96">
        <f t="shared" si="42"/>
        <v>14072.351234422058</v>
      </c>
      <c r="AG105" s="97">
        <f t="shared" si="43"/>
        <v>2854.8976133531087</v>
      </c>
      <c r="AH105" s="10">
        <f t="shared" si="50"/>
        <v>219184.72264092174</v>
      </c>
    </row>
    <row r="106" spans="7:34">
      <c r="G106">
        <v>6</v>
      </c>
      <c r="H106" s="10">
        <f t="shared" si="31"/>
        <v>0</v>
      </c>
      <c r="I106" s="10">
        <f>SUM($H$101:H106)</f>
        <v>180000</v>
      </c>
      <c r="J106" s="10">
        <f t="shared" si="44"/>
        <v>0</v>
      </c>
      <c r="K106" s="10">
        <f t="shared" si="45"/>
        <v>227790.59928666748</v>
      </c>
      <c r="L106" s="10">
        <f t="shared" si="32"/>
        <v>248063.96262318088</v>
      </c>
      <c r="M106" s="10">
        <f t="shared" si="33"/>
        <v>3446.4717672072784</v>
      </c>
      <c r="N106" s="10">
        <f t="shared" si="46"/>
        <v>244617.49085597359</v>
      </c>
      <c r="O106" s="7">
        <f t="shared" si="34"/>
        <v>978.46996342389446</v>
      </c>
      <c r="P106" s="10">
        <f t="shared" si="35"/>
        <v>243639.02089254968</v>
      </c>
      <c r="U106">
        <v>6</v>
      </c>
      <c r="V106" s="10">
        <f t="shared" si="36"/>
        <v>0</v>
      </c>
      <c r="W106" s="10">
        <f t="shared" si="47"/>
        <v>0</v>
      </c>
      <c r="X106" s="10">
        <f t="shared" si="48"/>
        <v>237537.19465663671</v>
      </c>
      <c r="Y106" s="96">
        <f t="shared" si="37"/>
        <v>4750.7438931327342</v>
      </c>
      <c r="Z106" s="96">
        <f t="shared" si="38"/>
        <v>1282.7008511458382</v>
      </c>
      <c r="AA106" s="97">
        <f t="shared" si="39"/>
        <v>0</v>
      </c>
      <c r="AB106" s="96">
        <f t="shared" si="40"/>
        <v>257632.8413245882</v>
      </c>
      <c r="AC106" s="10">
        <f t="shared" si="49"/>
        <v>20095.646667951485</v>
      </c>
      <c r="AD106" s="10">
        <f>SUM($AC$101:AC106)</f>
        <v>79012.841324588197</v>
      </c>
      <c r="AE106" s="96">
        <f t="shared" si="41"/>
        <v>1545.7970479475293</v>
      </c>
      <c r="AF106" s="96">
        <f t="shared" si="42"/>
        <v>13972.299148854163</v>
      </c>
      <c r="AG106" s="97">
        <f t="shared" si="43"/>
        <v>11450.70579144279</v>
      </c>
      <c r="AH106" s="10">
        <f t="shared" si="50"/>
        <v>230664.0393363437</v>
      </c>
    </row>
    <row r="107" spans="7:34">
      <c r="G107">
        <v>7</v>
      </c>
      <c r="H107" s="10">
        <f t="shared" si="31"/>
        <v>0</v>
      </c>
      <c r="I107" s="10">
        <f>SUM($H$101:H107)</f>
        <v>180000</v>
      </c>
      <c r="J107" s="10">
        <f t="shared" si="44"/>
        <v>0</v>
      </c>
      <c r="K107" s="10">
        <f t="shared" si="45"/>
        <v>244617.49085597359</v>
      </c>
      <c r="L107" s="10">
        <f t="shared" si="32"/>
        <v>266388.44754215522</v>
      </c>
      <c r="M107" s="10">
        <f t="shared" si="33"/>
        <v>3701.0626366508768</v>
      </c>
      <c r="N107" s="10">
        <f t="shared" si="46"/>
        <v>262687.38490550435</v>
      </c>
      <c r="O107" s="7">
        <f t="shared" si="34"/>
        <v>1050.7495396220174</v>
      </c>
      <c r="P107" s="10">
        <f t="shared" si="35"/>
        <v>261636.63536588234</v>
      </c>
      <c r="U107">
        <v>7</v>
      </c>
      <c r="V107" s="10">
        <f t="shared" si="36"/>
        <v>0</v>
      </c>
      <c r="W107" s="10">
        <f t="shared" si="47"/>
        <v>0</v>
      </c>
      <c r="X107" s="10">
        <f t="shared" si="48"/>
        <v>257632.8413245882</v>
      </c>
      <c r="Y107" s="96">
        <f t="shared" si="37"/>
        <v>5152.6568264917641</v>
      </c>
      <c r="Z107" s="96">
        <f t="shared" si="38"/>
        <v>1391.2173431527765</v>
      </c>
      <c r="AA107" s="97">
        <f t="shared" si="39"/>
        <v>0</v>
      </c>
      <c r="AB107" s="96">
        <f t="shared" si="40"/>
        <v>279428.57970064838</v>
      </c>
      <c r="AC107" s="10">
        <f t="shared" si="49"/>
        <v>21795.738376060181</v>
      </c>
      <c r="AD107" s="10">
        <f>SUM($AC$101:AC107)</f>
        <v>100808.57970064838</v>
      </c>
      <c r="AE107" s="96">
        <f t="shared" si="41"/>
        <v>1676.5714782038904</v>
      </c>
      <c r="AF107" s="96">
        <f t="shared" si="42"/>
        <v>13863.782656847225</v>
      </c>
      <c r="AG107" s="97">
        <f t="shared" si="43"/>
        <v>20773.719341398861</v>
      </c>
      <c r="AH107" s="10">
        <f t="shared" si="50"/>
        <v>243114.50622419844</v>
      </c>
    </row>
    <row r="108" spans="7:34">
      <c r="G108">
        <v>8</v>
      </c>
      <c r="H108" s="10">
        <f t="shared" si="31"/>
        <v>0</v>
      </c>
      <c r="I108" s="10">
        <f>SUM($H$101:H108)</f>
        <v>180000</v>
      </c>
      <c r="J108" s="10">
        <f t="shared" si="44"/>
        <v>0</v>
      </c>
      <c r="K108" s="10">
        <f t="shared" si="45"/>
        <v>262687.38490550435</v>
      </c>
      <c r="L108" s="10">
        <f t="shared" si="32"/>
        <v>286066.56216209423</v>
      </c>
      <c r="M108" s="10">
        <f t="shared" si="33"/>
        <v>3974.4601336202786</v>
      </c>
      <c r="N108" s="10">
        <f t="shared" si="46"/>
        <v>282092.10202847392</v>
      </c>
      <c r="O108" s="7">
        <f t="shared" si="34"/>
        <v>1128.3684081138958</v>
      </c>
      <c r="P108" s="10">
        <f t="shared" si="35"/>
        <v>280963.73362036003</v>
      </c>
      <c r="U108">
        <v>8</v>
      </c>
      <c r="V108" s="10">
        <f t="shared" si="36"/>
        <v>0</v>
      </c>
      <c r="W108" s="10">
        <f t="shared" si="47"/>
        <v>0</v>
      </c>
      <c r="X108" s="10">
        <f t="shared" si="48"/>
        <v>279428.57970064838</v>
      </c>
      <c r="Y108" s="96">
        <f t="shared" si="37"/>
        <v>5588.5715940129676</v>
      </c>
      <c r="Z108" s="96">
        <f t="shared" si="38"/>
        <v>1508.9143303835012</v>
      </c>
      <c r="AA108" s="97">
        <f t="shared" si="39"/>
        <v>0</v>
      </c>
      <c r="AB108" s="96">
        <f t="shared" si="40"/>
        <v>303068.23754332325</v>
      </c>
      <c r="AC108" s="10">
        <f t="shared" si="49"/>
        <v>23639.657842674875</v>
      </c>
      <c r="AD108" s="10">
        <f>SUM($AC$101:AC108)</f>
        <v>124448.23754332325</v>
      </c>
      <c r="AE108" s="96">
        <f t="shared" si="41"/>
        <v>1818.4094252599396</v>
      </c>
      <c r="AF108" s="96">
        <f t="shared" si="42"/>
        <v>13746.085669616499</v>
      </c>
      <c r="AG108" s="97">
        <f t="shared" si="43"/>
        <v>30885.459837681206</v>
      </c>
      <c r="AH108" s="10">
        <f t="shared" si="50"/>
        <v>256618.2826107656</v>
      </c>
    </row>
    <row r="109" spans="7:34">
      <c r="G109">
        <v>9</v>
      </c>
      <c r="H109" s="10">
        <f t="shared" si="31"/>
        <v>0</v>
      </c>
      <c r="I109" s="10">
        <f>SUM($H$101:H109)</f>
        <v>180000</v>
      </c>
      <c r="J109" s="10">
        <f t="shared" si="44"/>
        <v>0</v>
      </c>
      <c r="K109" s="10">
        <f t="shared" si="45"/>
        <v>282092.10202847392</v>
      </c>
      <c r="L109" s="10">
        <f t="shared" si="32"/>
        <v>307198.29910900811</v>
      </c>
      <c r="M109" s="10">
        <f t="shared" si="33"/>
        <v>4268.0535036908113</v>
      </c>
      <c r="N109" s="10">
        <f t="shared" si="46"/>
        <v>302930.24560531729</v>
      </c>
      <c r="O109" s="7">
        <f t="shared" si="34"/>
        <v>1211.7209824212691</v>
      </c>
      <c r="P109" s="10">
        <f t="shared" si="35"/>
        <v>301718.52462289605</v>
      </c>
      <c r="U109">
        <v>9</v>
      </c>
      <c r="V109" s="10">
        <f t="shared" si="36"/>
        <v>0</v>
      </c>
      <c r="W109" s="10">
        <f t="shared" si="47"/>
        <v>0</v>
      </c>
      <c r="X109" s="10">
        <f t="shared" si="48"/>
        <v>303068.23754332325</v>
      </c>
      <c r="Y109" s="96">
        <f t="shared" si="37"/>
        <v>6061.3647508664653</v>
      </c>
      <c r="Z109" s="96">
        <f t="shared" si="38"/>
        <v>1636.5684827339458</v>
      </c>
      <c r="AA109" s="97">
        <f t="shared" si="39"/>
        <v>0</v>
      </c>
      <c r="AB109" s="96">
        <f t="shared" si="40"/>
        <v>328707.81043948838</v>
      </c>
      <c r="AC109" s="10">
        <f t="shared" si="49"/>
        <v>25639.572896165133</v>
      </c>
      <c r="AD109" s="10">
        <f>SUM($AC$101:AC109)</f>
        <v>150087.81043948838</v>
      </c>
      <c r="AE109" s="96">
        <f t="shared" si="41"/>
        <v>1972.2468626369305</v>
      </c>
      <c r="AF109" s="96">
        <f t="shared" si="42"/>
        <v>13618.431517266055</v>
      </c>
      <c r="AG109" s="97">
        <f t="shared" si="43"/>
        <v>41852.65357994903</v>
      </c>
      <c r="AH109" s="10">
        <f t="shared" si="50"/>
        <v>271264.47847963637</v>
      </c>
    </row>
    <row r="110" spans="7:34">
      <c r="G110">
        <v>10</v>
      </c>
      <c r="H110" s="10">
        <f t="shared" si="31"/>
        <v>0</v>
      </c>
      <c r="I110" s="10">
        <f>SUM($H$101:H110)</f>
        <v>180000</v>
      </c>
      <c r="J110" s="10">
        <f t="shared" si="44"/>
        <v>0</v>
      </c>
      <c r="K110" s="10">
        <f t="shared" si="45"/>
        <v>302930.24560531729</v>
      </c>
      <c r="L110" s="10">
        <f t="shared" si="32"/>
        <v>329891.03746419051</v>
      </c>
      <c r="M110" s="10">
        <f t="shared" si="33"/>
        <v>4583.3346160084466</v>
      </c>
      <c r="N110" s="10">
        <f t="shared" si="46"/>
        <v>325307.70284818206</v>
      </c>
      <c r="O110" s="7">
        <f t="shared" si="34"/>
        <v>1301.2308113927284</v>
      </c>
      <c r="P110" s="10">
        <f t="shared" si="35"/>
        <v>324006.47203678935</v>
      </c>
      <c r="U110">
        <v>10</v>
      </c>
      <c r="V110" s="10">
        <f t="shared" si="36"/>
        <v>0</v>
      </c>
      <c r="W110" s="10">
        <f t="shared" si="47"/>
        <v>0</v>
      </c>
      <c r="X110" s="10">
        <f t="shared" si="48"/>
        <v>328707.81043948838</v>
      </c>
      <c r="Y110" s="96">
        <f t="shared" si="37"/>
        <v>6574.1562087897682</v>
      </c>
      <c r="Z110" s="96">
        <f t="shared" si="38"/>
        <v>1775.0221763732375</v>
      </c>
      <c r="AA110" s="97">
        <f t="shared" si="39"/>
        <v>0</v>
      </c>
      <c r="AB110" s="96">
        <f t="shared" si="40"/>
        <v>356516.4912026691</v>
      </c>
      <c r="AC110" s="10">
        <f t="shared" si="49"/>
        <v>27808.680763180717</v>
      </c>
      <c r="AD110" s="10">
        <f>SUM($AC$101:AC110)</f>
        <v>177896.4912026691</v>
      </c>
      <c r="AE110" s="96">
        <f t="shared" si="41"/>
        <v>2139.0989472160145</v>
      </c>
      <c r="AF110" s="96">
        <f t="shared" si="42"/>
        <v>13479.977823626763</v>
      </c>
      <c r="AG110" s="97">
        <f t="shared" si="43"/>
        <v>53747.671912812722</v>
      </c>
      <c r="AH110" s="10">
        <f t="shared" si="50"/>
        <v>287149.74251901358</v>
      </c>
    </row>
    <row r="111" spans="7:34">
      <c r="G111">
        <v>11</v>
      </c>
      <c r="H111" s="10">
        <f t="shared" si="31"/>
        <v>0</v>
      </c>
      <c r="I111" s="10">
        <f>SUM($H$101:H111)</f>
        <v>180000</v>
      </c>
      <c r="J111" s="10">
        <f t="shared" si="44"/>
        <v>0</v>
      </c>
      <c r="K111" s="10">
        <f t="shared" si="45"/>
        <v>325307.70284818206</v>
      </c>
      <c r="L111" s="10">
        <f t="shared" si="32"/>
        <v>354260.08840167028</v>
      </c>
      <c r="M111" s="10">
        <f t="shared" si="33"/>
        <v>4921.9055440929969</v>
      </c>
      <c r="N111" s="10">
        <f t="shared" si="46"/>
        <v>349338.18285757728</v>
      </c>
      <c r="O111" s="7">
        <f t="shared" si="34"/>
        <v>1397.3527314303092</v>
      </c>
      <c r="P111" s="10">
        <f t="shared" si="35"/>
        <v>347940.83012614696</v>
      </c>
      <c r="U111">
        <v>11</v>
      </c>
      <c r="V111" s="10">
        <f t="shared" si="36"/>
        <v>0</v>
      </c>
      <c r="W111" s="10">
        <f t="shared" si="47"/>
        <v>0</v>
      </c>
      <c r="X111" s="10">
        <f t="shared" si="48"/>
        <v>356516.4912026691</v>
      </c>
      <c r="Y111" s="96">
        <f t="shared" si="37"/>
        <v>7130.3298240533823</v>
      </c>
      <c r="Z111" s="96">
        <f t="shared" si="38"/>
        <v>1925.1890524944133</v>
      </c>
      <c r="AA111" s="97">
        <f t="shared" si="39"/>
        <v>0</v>
      </c>
      <c r="AB111" s="96">
        <f t="shared" si="40"/>
        <v>386677.78635841492</v>
      </c>
      <c r="AC111" s="10">
        <f t="shared" si="49"/>
        <v>30161.295155745815</v>
      </c>
      <c r="AD111" s="10">
        <f>SUM($AC$101:AC111)</f>
        <v>208057.78635841492</v>
      </c>
      <c r="AE111" s="96">
        <f t="shared" si="41"/>
        <v>2320.0667181504896</v>
      </c>
      <c r="AF111" s="96">
        <f t="shared" si="42"/>
        <v>13329.810947505588</v>
      </c>
      <c r="AG111" s="97">
        <f t="shared" si="43"/>
        <v>66649.008796636685</v>
      </c>
      <c r="AH111" s="10">
        <f t="shared" si="50"/>
        <v>304378.89989612217</v>
      </c>
    </row>
    <row r="112" spans="7:34">
      <c r="G112">
        <v>12</v>
      </c>
      <c r="H112" s="10">
        <f t="shared" si="31"/>
        <v>0</v>
      </c>
      <c r="I112" s="10">
        <f>SUM($H$101:H112)</f>
        <v>180000</v>
      </c>
      <c r="J112" s="10">
        <f t="shared" si="44"/>
        <v>0</v>
      </c>
      <c r="K112" s="10">
        <f t="shared" si="45"/>
        <v>349338.18285757728</v>
      </c>
      <c r="L112" s="10">
        <f t="shared" si="32"/>
        <v>380429.28113190166</v>
      </c>
      <c r="M112" s="10">
        <f t="shared" si="33"/>
        <v>5285.4867066351453</v>
      </c>
      <c r="N112" s="10">
        <f t="shared" si="46"/>
        <v>375143.7944252665</v>
      </c>
      <c r="O112" s="7">
        <f t="shared" si="34"/>
        <v>1500.575177701066</v>
      </c>
      <c r="P112" s="10">
        <f t="shared" si="35"/>
        <v>373643.21924756543</v>
      </c>
      <c r="U112">
        <v>12</v>
      </c>
      <c r="V112" s="10">
        <f t="shared" si="36"/>
        <v>0</v>
      </c>
      <c r="W112" s="10">
        <f t="shared" si="47"/>
        <v>0</v>
      </c>
      <c r="X112" s="10">
        <f t="shared" si="48"/>
        <v>386677.78635841492</v>
      </c>
      <c r="Y112" s="96">
        <f t="shared" si="37"/>
        <v>7733.5557271682983</v>
      </c>
      <c r="Z112" s="96">
        <f t="shared" si="38"/>
        <v>2088.0600463354408</v>
      </c>
      <c r="AA112" s="97">
        <f t="shared" si="39"/>
        <v>0</v>
      </c>
      <c r="AB112" s="96">
        <f t="shared" si="40"/>
        <v>419390.7270843368</v>
      </c>
      <c r="AC112" s="10">
        <f t="shared" si="49"/>
        <v>32712.940725921886</v>
      </c>
      <c r="AD112" s="10">
        <f>SUM($AC$101:AC112)</f>
        <v>240770.7270843368</v>
      </c>
      <c r="AE112" s="96">
        <f t="shared" si="41"/>
        <v>2516.3443625060208</v>
      </c>
      <c r="AF112" s="96">
        <f t="shared" si="42"/>
        <v>13166.93995366456</v>
      </c>
      <c r="AG112" s="97">
        <f t="shared" si="43"/>
        <v>80641.798780832149</v>
      </c>
      <c r="AH112" s="10">
        <f t="shared" si="50"/>
        <v>323065.6439873341</v>
      </c>
    </row>
    <row r="113" spans="7:34">
      <c r="G113">
        <v>13</v>
      </c>
      <c r="H113" s="10">
        <f t="shared" si="31"/>
        <v>0</v>
      </c>
      <c r="I113" s="10">
        <f>SUM($H$101:H113)</f>
        <v>180000</v>
      </c>
      <c r="J113" s="10">
        <f t="shared" si="44"/>
        <v>0</v>
      </c>
      <c r="K113" s="10">
        <f t="shared" si="45"/>
        <v>375143.7944252665</v>
      </c>
      <c r="L113" s="10">
        <f t="shared" si="32"/>
        <v>408531.59212911519</v>
      </c>
      <c r="M113" s="10">
        <f t="shared" si="33"/>
        <v>5675.9256096542767</v>
      </c>
      <c r="N113" s="10">
        <f t="shared" si="46"/>
        <v>402855.66651946091</v>
      </c>
      <c r="O113" s="7">
        <f t="shared" si="34"/>
        <v>1611.4226660778436</v>
      </c>
      <c r="P113" s="10">
        <f t="shared" si="35"/>
        <v>401244.24385338306</v>
      </c>
      <c r="U113">
        <v>13</v>
      </c>
      <c r="V113" s="10">
        <f t="shared" si="36"/>
        <v>0</v>
      </c>
      <c r="W113" s="10">
        <f t="shared" si="47"/>
        <v>0</v>
      </c>
      <c r="X113" s="10">
        <f t="shared" si="48"/>
        <v>419390.7270843368</v>
      </c>
      <c r="Y113" s="96">
        <f t="shared" si="37"/>
        <v>8387.8145416867355</v>
      </c>
      <c r="Z113" s="96">
        <f t="shared" si="38"/>
        <v>2264.7099262554188</v>
      </c>
      <c r="AA113" s="97">
        <f t="shared" si="39"/>
        <v>0</v>
      </c>
      <c r="AB113" s="96">
        <f t="shared" si="40"/>
        <v>454871.18259567174</v>
      </c>
      <c r="AC113" s="10">
        <f t="shared" si="49"/>
        <v>35480.455511334934</v>
      </c>
      <c r="AD113" s="10">
        <f>SUM($AC$101:AC113)</f>
        <v>276251.18259567174</v>
      </c>
      <c r="AE113" s="96">
        <f t="shared" si="41"/>
        <v>2729.2270955740305</v>
      </c>
      <c r="AF113" s="96">
        <f t="shared" si="42"/>
        <v>12990.290073744583</v>
      </c>
      <c r="AG113" s="97">
        <f t="shared" si="43"/>
        <v>95818.378797690559</v>
      </c>
      <c r="AH113" s="10">
        <f t="shared" si="50"/>
        <v>343333.28662866255</v>
      </c>
    </row>
    <row r="114" spans="7:34">
      <c r="G114">
        <v>14</v>
      </c>
      <c r="H114" s="10">
        <f t="shared" si="31"/>
        <v>0</v>
      </c>
      <c r="I114" s="10">
        <f>SUM($H$101:H114)</f>
        <v>180000</v>
      </c>
      <c r="J114" s="10">
        <f t="shared" si="44"/>
        <v>0</v>
      </c>
      <c r="K114" s="10">
        <f t="shared" si="45"/>
        <v>402855.66651946091</v>
      </c>
      <c r="L114" s="10">
        <f t="shared" si="32"/>
        <v>438709.8208396929</v>
      </c>
      <c r="M114" s="10">
        <f t="shared" si="33"/>
        <v>6095.206234439438</v>
      </c>
      <c r="N114" s="10">
        <f t="shared" si="46"/>
        <v>432614.61460525345</v>
      </c>
      <c r="O114" s="7">
        <f t="shared" si="34"/>
        <v>1730.4584584210138</v>
      </c>
      <c r="P114" s="10">
        <f t="shared" si="35"/>
        <v>430884.15614683245</v>
      </c>
      <c r="U114">
        <v>14</v>
      </c>
      <c r="V114" s="10">
        <f t="shared" si="36"/>
        <v>0</v>
      </c>
      <c r="W114" s="10">
        <f t="shared" si="47"/>
        <v>0</v>
      </c>
      <c r="X114" s="10">
        <f t="shared" si="48"/>
        <v>454871.18259567174</v>
      </c>
      <c r="Y114" s="96">
        <f t="shared" si="37"/>
        <v>9097.4236519134356</v>
      </c>
      <c r="Z114" s="96">
        <f t="shared" si="38"/>
        <v>2456.3043860166276</v>
      </c>
      <c r="AA114" s="97">
        <f t="shared" si="39"/>
        <v>0</v>
      </c>
      <c r="AB114" s="96">
        <f t="shared" si="40"/>
        <v>493353.28464326559</v>
      </c>
      <c r="AC114" s="10">
        <f t="shared" si="49"/>
        <v>38482.102047593857</v>
      </c>
      <c r="AD114" s="10">
        <f>SUM($AC$101:AC114)</f>
        <v>314733.28464326559</v>
      </c>
      <c r="AE114" s="96">
        <f t="shared" si="41"/>
        <v>2960.1197078595933</v>
      </c>
      <c r="AF114" s="96">
        <f t="shared" si="42"/>
        <v>12798.695613983373</v>
      </c>
      <c r="AG114" s="97">
        <f t="shared" si="43"/>
        <v>112278.89748397518</v>
      </c>
      <c r="AH114" s="10">
        <f t="shared" si="50"/>
        <v>365315.57183744747</v>
      </c>
    </row>
    <row r="115" spans="7:34">
      <c r="G115">
        <v>15</v>
      </c>
      <c r="H115" s="10">
        <f t="shared" si="31"/>
        <v>0</v>
      </c>
      <c r="I115" s="10">
        <f>SUM($H$101:H115)</f>
        <v>180000</v>
      </c>
      <c r="J115" s="10">
        <f t="shared" si="44"/>
        <v>0</v>
      </c>
      <c r="K115" s="10">
        <f t="shared" si="45"/>
        <v>432614.61460525345</v>
      </c>
      <c r="L115" s="10">
        <f t="shared" si="32"/>
        <v>471117.31530512101</v>
      </c>
      <c r="M115" s="10">
        <f t="shared" si="33"/>
        <v>6545.4591189774865</v>
      </c>
      <c r="N115" s="10">
        <f t="shared" si="46"/>
        <v>464571.85618614353</v>
      </c>
      <c r="O115" s="7">
        <f t="shared" si="34"/>
        <v>1858.2874247445743</v>
      </c>
      <c r="P115" s="10">
        <f t="shared" si="35"/>
        <v>462713.56876139896</v>
      </c>
      <c r="U115">
        <v>15</v>
      </c>
      <c r="V115" s="10">
        <f t="shared" si="36"/>
        <v>0</v>
      </c>
      <c r="W115" s="10">
        <f t="shared" si="47"/>
        <v>0</v>
      </c>
      <c r="X115" s="10">
        <f t="shared" si="48"/>
        <v>493353.28464326559</v>
      </c>
      <c r="Y115" s="96">
        <f t="shared" si="37"/>
        <v>9867.0656928653116</v>
      </c>
      <c r="Z115" s="96">
        <f t="shared" si="38"/>
        <v>2664.1077370736343</v>
      </c>
      <c r="AA115" s="97">
        <f t="shared" si="39"/>
        <v>0</v>
      </c>
      <c r="AB115" s="96">
        <f t="shared" si="40"/>
        <v>535090.9725240859</v>
      </c>
      <c r="AC115" s="10">
        <f t="shared" si="49"/>
        <v>41737.687880820304</v>
      </c>
      <c r="AD115" s="10">
        <f>SUM($AC$101:AC115)</f>
        <v>356470.9725240859</v>
      </c>
      <c r="AE115" s="96">
        <f t="shared" si="41"/>
        <v>3210.5458351445154</v>
      </c>
      <c r="AF115" s="96">
        <f t="shared" si="42"/>
        <v>12590.892262926367</v>
      </c>
      <c r="AG115" s="97">
        <f t="shared" si="43"/>
        <v>130131.97605111949</v>
      </c>
      <c r="AH115" s="10">
        <f t="shared" si="50"/>
        <v>389157.55837489554</v>
      </c>
    </row>
    <row r="116" spans="7:34">
      <c r="G116">
        <v>16</v>
      </c>
      <c r="H116" s="10">
        <f t="shared" si="31"/>
        <v>0</v>
      </c>
      <c r="I116" s="10">
        <f>SUM($H$101:H116)</f>
        <v>180000</v>
      </c>
      <c r="J116" s="10">
        <f t="shared" si="44"/>
        <v>0</v>
      </c>
      <c r="K116" s="10">
        <f t="shared" si="45"/>
        <v>464571.85618614353</v>
      </c>
      <c r="L116" s="10">
        <f t="shared" si="32"/>
        <v>505918.75138671027</v>
      </c>
      <c r="M116" s="10">
        <f t="shared" si="33"/>
        <v>7028.9721840963457</v>
      </c>
      <c r="N116" s="10">
        <f t="shared" si="46"/>
        <v>498889.77920261392</v>
      </c>
      <c r="O116" s="7">
        <f t="shared" si="34"/>
        <v>1995.5591168104556</v>
      </c>
      <c r="P116" s="10">
        <f t="shared" si="35"/>
        <v>496894.22008580348</v>
      </c>
      <c r="U116">
        <v>16</v>
      </c>
      <c r="V116" s="10">
        <f t="shared" si="36"/>
        <v>0</v>
      </c>
      <c r="W116" s="10">
        <f t="shared" si="47"/>
        <v>0</v>
      </c>
      <c r="X116" s="10">
        <f t="shared" si="48"/>
        <v>535090.9725240859</v>
      </c>
      <c r="Y116" s="96">
        <f t="shared" si="37"/>
        <v>10701.819450481718</v>
      </c>
      <c r="Z116" s="96">
        <f t="shared" si="38"/>
        <v>2889.4912516300642</v>
      </c>
      <c r="AA116" s="97">
        <f t="shared" si="39"/>
        <v>0</v>
      </c>
      <c r="AB116" s="96">
        <f t="shared" si="40"/>
        <v>580359.66879962361</v>
      </c>
      <c r="AC116" s="10">
        <f t="shared" si="49"/>
        <v>45268.696275537717</v>
      </c>
      <c r="AD116" s="10">
        <f>SUM($AC$101:AC116)</f>
        <v>401739.66879962361</v>
      </c>
      <c r="AE116" s="96">
        <f t="shared" si="41"/>
        <v>3482.1580127977418</v>
      </c>
      <c r="AF116" s="96">
        <f t="shared" si="42"/>
        <v>12365.508748369935</v>
      </c>
      <c r="AG116" s="97">
        <f t="shared" si="43"/>
        <v>149495.42506504426</v>
      </c>
      <c r="AH116" s="10">
        <f t="shared" si="50"/>
        <v>415016.57697341166</v>
      </c>
    </row>
    <row r="117" spans="7:34">
      <c r="G117">
        <v>17</v>
      </c>
      <c r="H117" s="10">
        <f t="shared" si="31"/>
        <v>0</v>
      </c>
      <c r="I117" s="10">
        <f>SUM($H$101:H117)</f>
        <v>180000</v>
      </c>
      <c r="J117" s="10">
        <f t="shared" si="44"/>
        <v>0</v>
      </c>
      <c r="K117" s="10">
        <f t="shared" si="45"/>
        <v>498889.77920261392</v>
      </c>
      <c r="L117" s="10">
        <f t="shared" si="32"/>
        <v>543290.9695516465</v>
      </c>
      <c r="M117" s="10">
        <f t="shared" si="33"/>
        <v>7548.2023593355389</v>
      </c>
      <c r="N117" s="10">
        <f t="shared" si="46"/>
        <v>535742.767192311</v>
      </c>
      <c r="O117" s="7">
        <f t="shared" si="34"/>
        <v>2142.9710687692441</v>
      </c>
      <c r="P117" s="10">
        <f t="shared" si="35"/>
        <v>533599.79612354178</v>
      </c>
      <c r="U117">
        <v>17</v>
      </c>
      <c r="V117" s="10">
        <f t="shared" si="36"/>
        <v>0</v>
      </c>
      <c r="W117" s="10">
        <f t="shared" si="47"/>
        <v>0</v>
      </c>
      <c r="X117" s="10">
        <f t="shared" si="48"/>
        <v>580359.66879962361</v>
      </c>
      <c r="Y117" s="96">
        <f t="shared" si="37"/>
        <v>11607.193375992472</v>
      </c>
      <c r="Z117" s="96">
        <f t="shared" si="38"/>
        <v>3133.9422115179677</v>
      </c>
      <c r="AA117" s="97">
        <f t="shared" si="39"/>
        <v>0</v>
      </c>
      <c r="AB117" s="96">
        <f t="shared" si="40"/>
        <v>629458.09678007185</v>
      </c>
      <c r="AC117" s="10">
        <f t="shared" si="49"/>
        <v>49098.427980448236</v>
      </c>
      <c r="AD117" s="10">
        <f>SUM($AC$101:AC117)</f>
        <v>450838.09678007185</v>
      </c>
      <c r="AE117" s="96">
        <f t="shared" si="41"/>
        <v>3776.7485806804316</v>
      </c>
      <c r="AF117" s="96">
        <f t="shared" si="42"/>
        <v>12121.057788482034</v>
      </c>
      <c r="AG117" s="97">
        <f t="shared" si="43"/>
        <v>170497.02186554702</v>
      </c>
      <c r="AH117" s="10">
        <f t="shared" si="50"/>
        <v>443063.26854536228</v>
      </c>
    </row>
    <row r="118" spans="7:34">
      <c r="G118">
        <v>18</v>
      </c>
      <c r="H118" s="10">
        <f t="shared" si="31"/>
        <v>0</v>
      </c>
      <c r="I118" s="10">
        <f>SUM($H$101:H118)</f>
        <v>180000</v>
      </c>
      <c r="J118" s="10">
        <f t="shared" si="44"/>
        <v>0</v>
      </c>
      <c r="K118" s="10">
        <f t="shared" si="45"/>
        <v>535742.767192311</v>
      </c>
      <c r="L118" s="10">
        <f t="shared" si="32"/>
        <v>583423.87347242667</v>
      </c>
      <c r="M118" s="10">
        <f t="shared" si="33"/>
        <v>8105.7880676196637</v>
      </c>
      <c r="N118" s="10">
        <f t="shared" si="46"/>
        <v>575318.085404807</v>
      </c>
      <c r="O118" s="7">
        <f t="shared" si="34"/>
        <v>2301.272341619228</v>
      </c>
      <c r="P118" s="10">
        <f t="shared" si="35"/>
        <v>573016.81306318776</v>
      </c>
      <c r="U118">
        <v>18</v>
      </c>
      <c r="V118" s="10">
        <f t="shared" si="36"/>
        <v>0</v>
      </c>
      <c r="W118" s="10">
        <f t="shared" si="47"/>
        <v>0</v>
      </c>
      <c r="X118" s="10">
        <f t="shared" si="48"/>
        <v>629458.09678007185</v>
      </c>
      <c r="Y118" s="96">
        <f t="shared" si="37"/>
        <v>12589.161935601438</v>
      </c>
      <c r="Z118" s="96">
        <f t="shared" si="38"/>
        <v>3399.0737226123883</v>
      </c>
      <c r="AA118" s="97">
        <f t="shared" si="39"/>
        <v>0</v>
      </c>
      <c r="AB118" s="96">
        <f t="shared" si="40"/>
        <v>682710.25176766596</v>
      </c>
      <c r="AC118" s="10">
        <f t="shared" si="49"/>
        <v>53252.154987594113</v>
      </c>
      <c r="AD118" s="10">
        <f>SUM($AC$101:AC118)</f>
        <v>504090.25176766596</v>
      </c>
      <c r="AE118" s="96">
        <f t="shared" si="41"/>
        <v>4096.2615106059957</v>
      </c>
      <c r="AF118" s="96">
        <f t="shared" si="42"/>
        <v>11855.926277387611</v>
      </c>
      <c r="AG118" s="97">
        <f t="shared" si="43"/>
        <v>193275.35375537231</v>
      </c>
      <c r="AH118" s="10">
        <f t="shared" si="50"/>
        <v>473482.71022429992</v>
      </c>
    </row>
    <row r="119" spans="7:34">
      <c r="G119">
        <v>19</v>
      </c>
      <c r="H119" s="10">
        <f t="shared" si="31"/>
        <v>0</v>
      </c>
      <c r="I119" s="10">
        <f>SUM($H$101:H119)</f>
        <v>180000</v>
      </c>
      <c r="J119" s="10">
        <f t="shared" si="44"/>
        <v>0</v>
      </c>
      <c r="K119" s="10">
        <f t="shared" si="45"/>
        <v>575318.085404807</v>
      </c>
      <c r="L119" s="10">
        <f t="shared" si="32"/>
        <v>626521.39500583475</v>
      </c>
      <c r="M119" s="10">
        <f t="shared" si="33"/>
        <v>8704.5626321747186</v>
      </c>
      <c r="N119" s="10">
        <f t="shared" si="46"/>
        <v>617816.83237366006</v>
      </c>
      <c r="O119" s="7">
        <f t="shared" si="34"/>
        <v>2471.2673294946403</v>
      </c>
      <c r="P119" s="10">
        <f t="shared" si="35"/>
        <v>615345.56504416547</v>
      </c>
      <c r="U119">
        <v>19</v>
      </c>
      <c r="V119" s="10">
        <f t="shared" si="36"/>
        <v>0</v>
      </c>
      <c r="W119" s="10">
        <f t="shared" si="47"/>
        <v>0</v>
      </c>
      <c r="X119" s="10">
        <f t="shared" si="48"/>
        <v>682710.25176766596</v>
      </c>
      <c r="Y119" s="96">
        <f t="shared" si="37"/>
        <v>13654.20503535332</v>
      </c>
      <c r="Z119" s="96">
        <f t="shared" si="38"/>
        <v>3686.6353595453966</v>
      </c>
      <c r="AA119" s="97">
        <f t="shared" si="39"/>
        <v>0</v>
      </c>
      <c r="AB119" s="96">
        <f t="shared" si="40"/>
        <v>740467.53906721063</v>
      </c>
      <c r="AC119" s="10">
        <f t="shared" si="49"/>
        <v>57757.287299544667</v>
      </c>
      <c r="AD119" s="10">
        <f>SUM($AC$101:AC119)</f>
        <v>561847.53906721063</v>
      </c>
      <c r="AE119" s="96">
        <f t="shared" si="41"/>
        <v>4442.805234403264</v>
      </c>
      <c r="AF119" s="96">
        <f t="shared" si="42"/>
        <v>11568.364640454605</v>
      </c>
      <c r="AG119" s="97">
        <f t="shared" si="43"/>
        <v>217980.73252307685</v>
      </c>
      <c r="AH119" s="10">
        <f t="shared" si="50"/>
        <v>506475.63666927593</v>
      </c>
    </row>
    <row r="120" spans="7:34">
      <c r="G120">
        <v>20</v>
      </c>
      <c r="H120" s="10">
        <f t="shared" si="31"/>
        <v>0</v>
      </c>
      <c r="I120" s="10">
        <f>SUM($H$101:H120)</f>
        <v>180000</v>
      </c>
      <c r="J120" s="10">
        <f t="shared" si="44"/>
        <v>0</v>
      </c>
      <c r="K120" s="10">
        <f t="shared" si="45"/>
        <v>617816.83237366006</v>
      </c>
      <c r="L120" s="10">
        <f t="shared" si="32"/>
        <v>672802.53045491583</v>
      </c>
      <c r="M120" s="10">
        <f t="shared" si="33"/>
        <v>9347.5686738134827</v>
      </c>
      <c r="N120" s="10">
        <f t="shared" si="46"/>
        <v>663454.96178110235</v>
      </c>
      <c r="O120" s="7">
        <f t="shared" si="34"/>
        <v>2653.8198471244095</v>
      </c>
      <c r="P120" s="10">
        <f t="shared" si="35"/>
        <v>660801.14193397795</v>
      </c>
      <c r="U120">
        <v>20</v>
      </c>
      <c r="V120" s="10">
        <f t="shared" si="36"/>
        <v>0</v>
      </c>
      <c r="W120" s="10">
        <f t="shared" si="47"/>
        <v>0</v>
      </c>
      <c r="X120" s="10">
        <f t="shared" si="48"/>
        <v>740467.53906721063</v>
      </c>
      <c r="Y120" s="96">
        <f t="shared" si="37"/>
        <v>14809.350781344212</v>
      </c>
      <c r="Z120" s="96">
        <f t="shared" si="38"/>
        <v>3998.5247109629377</v>
      </c>
      <c r="AA120" s="97">
        <f t="shared" si="39"/>
        <v>0</v>
      </c>
      <c r="AB120" s="96">
        <f t="shared" si="40"/>
        <v>803111.09287229669</v>
      </c>
      <c r="AC120" s="10">
        <f t="shared" si="49"/>
        <v>62643.553805086063</v>
      </c>
      <c r="AD120" s="10">
        <f>SUM($AC$101:AC120)</f>
        <v>624491.09287229669</v>
      </c>
      <c r="AE120" s="96">
        <f t="shared" si="41"/>
        <v>4818.6665572337806</v>
      </c>
      <c r="AF120" s="96">
        <f t="shared" si="42"/>
        <v>11256.475289037064</v>
      </c>
      <c r="AG120" s="97">
        <f t="shared" si="43"/>
        <v>244776.18633452916</v>
      </c>
      <c r="AH120" s="10">
        <f t="shared" si="50"/>
        <v>542259.76469149662</v>
      </c>
    </row>
    <row r="121" spans="7:34">
      <c r="G121">
        <v>21</v>
      </c>
      <c r="H121" s="10">
        <f t="shared" si="31"/>
        <v>0</v>
      </c>
      <c r="I121" s="10">
        <f>SUM($H$101:H121)</f>
        <v>180000</v>
      </c>
      <c r="J121" s="10">
        <f t="shared" si="44"/>
        <v>0</v>
      </c>
      <c r="K121" s="10">
        <f t="shared" si="45"/>
        <v>663454.96178110235</v>
      </c>
      <c r="L121" s="10">
        <f t="shared" si="32"/>
        <v>722502.45337962045</v>
      </c>
      <c r="M121" s="10">
        <f t="shared" si="33"/>
        <v>10038.073571748078</v>
      </c>
      <c r="N121" s="10">
        <f t="shared" si="46"/>
        <v>712464.37980787235</v>
      </c>
      <c r="O121" s="7">
        <f t="shared" si="34"/>
        <v>2849.8575192314893</v>
      </c>
      <c r="P121" s="10">
        <f t="shared" si="35"/>
        <v>709614.52228864084</v>
      </c>
      <c r="U121">
        <v>21</v>
      </c>
      <c r="V121" s="10">
        <f t="shared" si="36"/>
        <v>0</v>
      </c>
      <c r="W121" s="10">
        <f t="shared" si="47"/>
        <v>0</v>
      </c>
      <c r="X121" s="10">
        <f t="shared" si="48"/>
        <v>803111.09287229669</v>
      </c>
      <c r="Y121" s="96">
        <f t="shared" si="37"/>
        <v>16062.221857445935</v>
      </c>
      <c r="Z121" s="96">
        <f t="shared" si="38"/>
        <v>4336.7999015104024</v>
      </c>
      <c r="AA121" s="97">
        <f t="shared" si="39"/>
        <v>0</v>
      </c>
      <c r="AB121" s="96">
        <f t="shared" si="40"/>
        <v>871054.29132929305</v>
      </c>
      <c r="AC121" s="10">
        <f t="shared" si="49"/>
        <v>67943.198456996353</v>
      </c>
      <c r="AD121" s="10">
        <f>SUM($AC$101:AC121)</f>
        <v>692434.29132929305</v>
      </c>
      <c r="AE121" s="96">
        <f t="shared" si="41"/>
        <v>5226.3257479757585</v>
      </c>
      <c r="AF121" s="96">
        <f t="shared" si="42"/>
        <v>10918.200098489599</v>
      </c>
      <c r="AG121" s="97">
        <f t="shared" si="43"/>
        <v>273838.53553843033</v>
      </c>
      <c r="AH121" s="10">
        <f t="shared" si="50"/>
        <v>581071.22994439735</v>
      </c>
    </row>
    <row r="122" spans="7:34">
      <c r="G122">
        <v>22</v>
      </c>
      <c r="H122" s="10">
        <f t="shared" si="31"/>
        <v>0</v>
      </c>
      <c r="I122" s="10">
        <f>SUM($H$101:H122)</f>
        <v>180000</v>
      </c>
      <c r="J122" s="10">
        <f t="shared" si="44"/>
        <v>0</v>
      </c>
      <c r="K122" s="10">
        <f t="shared" si="45"/>
        <v>712464.37980787235</v>
      </c>
      <c r="L122" s="10">
        <f t="shared" si="32"/>
        <v>775873.70961077302</v>
      </c>
      <c r="M122" s="10">
        <f t="shared" si="33"/>
        <v>10779.586066493115</v>
      </c>
      <c r="N122" s="10">
        <f t="shared" si="46"/>
        <v>765094.12354427995</v>
      </c>
      <c r="O122" s="7">
        <f t="shared" si="34"/>
        <v>3060.3764941771196</v>
      </c>
      <c r="P122" s="10">
        <f t="shared" si="35"/>
        <v>762033.7470501028</v>
      </c>
      <c r="U122">
        <v>22</v>
      </c>
      <c r="V122" s="10">
        <f t="shared" si="36"/>
        <v>0</v>
      </c>
      <c r="W122" s="10">
        <f t="shared" si="47"/>
        <v>0</v>
      </c>
      <c r="X122" s="10">
        <f t="shared" si="48"/>
        <v>871054.29132929305</v>
      </c>
      <c r="Y122" s="96">
        <f t="shared" si="37"/>
        <v>17421.085826585862</v>
      </c>
      <c r="Z122" s="96">
        <f t="shared" si="38"/>
        <v>4703.6931731781833</v>
      </c>
      <c r="AA122" s="97">
        <f t="shared" si="39"/>
        <v>0</v>
      </c>
      <c r="AB122" s="96">
        <f t="shared" si="40"/>
        <v>944745.48437575123</v>
      </c>
      <c r="AC122" s="10">
        <f t="shared" si="49"/>
        <v>73691.193046458182</v>
      </c>
      <c r="AD122" s="10">
        <f>SUM($AC$101:AC122)</f>
        <v>766125.48437575123</v>
      </c>
      <c r="AE122" s="96">
        <f t="shared" si="41"/>
        <v>5668.4729062545075</v>
      </c>
      <c r="AF122" s="96">
        <f t="shared" si="42"/>
        <v>10551.306826821818</v>
      </c>
      <c r="AG122" s="97">
        <f t="shared" si="43"/>
        <v>305359.55948498158</v>
      </c>
      <c r="AH122" s="10">
        <f t="shared" si="50"/>
        <v>623166.14515769342</v>
      </c>
    </row>
    <row r="123" spans="7:34">
      <c r="G123">
        <v>23</v>
      </c>
      <c r="H123" s="10">
        <f t="shared" si="31"/>
        <v>0</v>
      </c>
      <c r="I123" s="10">
        <f>SUM($H$101:H123)</f>
        <v>180000</v>
      </c>
      <c r="J123" s="10">
        <f t="shared" si="44"/>
        <v>0</v>
      </c>
      <c r="K123" s="10">
        <f t="shared" si="45"/>
        <v>765094.12354427995</v>
      </c>
      <c r="L123" s="10">
        <f t="shared" si="32"/>
        <v>833187.50053972087</v>
      </c>
      <c r="M123" s="10">
        <f t="shared" si="33"/>
        <v>11575.874089224957</v>
      </c>
      <c r="N123" s="10">
        <f t="shared" si="46"/>
        <v>821611.62645049591</v>
      </c>
      <c r="O123" s="7">
        <f t="shared" si="34"/>
        <v>3286.4465058019837</v>
      </c>
      <c r="P123" s="10">
        <f t="shared" si="35"/>
        <v>818325.17994469393</v>
      </c>
      <c r="U123">
        <v>23</v>
      </c>
      <c r="V123" s="10">
        <f t="shared" si="36"/>
        <v>0</v>
      </c>
      <c r="W123" s="10">
        <f t="shared" si="47"/>
        <v>0</v>
      </c>
      <c r="X123" s="10">
        <f t="shared" si="48"/>
        <v>944745.48437575123</v>
      </c>
      <c r="Y123" s="96">
        <f t="shared" si="37"/>
        <v>18894.909687515024</v>
      </c>
      <c r="Z123" s="96">
        <f t="shared" si="38"/>
        <v>5101.6256156290565</v>
      </c>
      <c r="AA123" s="97">
        <f t="shared" si="39"/>
        <v>0</v>
      </c>
      <c r="AB123" s="96">
        <f t="shared" si="40"/>
        <v>1024670.9523539399</v>
      </c>
      <c r="AC123" s="10">
        <f t="shared" si="49"/>
        <v>79925.467978188652</v>
      </c>
      <c r="AD123" s="10">
        <f>SUM($AC$101:AC123)</f>
        <v>846050.95235393988</v>
      </c>
      <c r="AE123" s="96">
        <f t="shared" si="41"/>
        <v>6148.0257141236398</v>
      </c>
      <c r="AF123" s="96">
        <f t="shared" si="42"/>
        <v>10153.374384370944</v>
      </c>
      <c r="AG123" s="97">
        <f t="shared" si="43"/>
        <v>339547.26205741102</v>
      </c>
      <c r="AH123" s="10">
        <f t="shared" si="50"/>
        <v>668822.29019803426</v>
      </c>
    </row>
    <row r="124" spans="7:34">
      <c r="G124">
        <v>24</v>
      </c>
      <c r="H124" s="10">
        <f t="shared" si="31"/>
        <v>0</v>
      </c>
      <c r="I124" s="10">
        <f>SUM($H$101:H124)</f>
        <v>180000</v>
      </c>
      <c r="J124" s="10">
        <f t="shared" si="44"/>
        <v>0</v>
      </c>
      <c r="K124" s="10">
        <f t="shared" si="45"/>
        <v>821611.62645049591</v>
      </c>
      <c r="L124" s="10">
        <f t="shared" si="32"/>
        <v>894735.06120459002</v>
      </c>
      <c r="M124" s="10">
        <f t="shared" si="33"/>
        <v>12430.983908196</v>
      </c>
      <c r="N124" s="10">
        <f t="shared" si="46"/>
        <v>882304.07729639404</v>
      </c>
      <c r="O124" s="7">
        <f t="shared" si="34"/>
        <v>3529.2163091855764</v>
      </c>
      <c r="P124" s="10">
        <f t="shared" si="35"/>
        <v>878774.86098720843</v>
      </c>
      <c r="U124">
        <v>24</v>
      </c>
      <c r="V124" s="10">
        <f t="shared" si="36"/>
        <v>0</v>
      </c>
      <c r="W124" s="10">
        <f t="shared" si="47"/>
        <v>0</v>
      </c>
      <c r="X124" s="10">
        <f t="shared" si="48"/>
        <v>1024670.9523539399</v>
      </c>
      <c r="Y124" s="96">
        <f t="shared" si="37"/>
        <v>20493.419047078798</v>
      </c>
      <c r="Z124" s="96">
        <f t="shared" si="38"/>
        <v>5533.2231427112756</v>
      </c>
      <c r="AA124" s="97">
        <f t="shared" si="39"/>
        <v>0</v>
      </c>
      <c r="AB124" s="96">
        <f t="shared" si="40"/>
        <v>1111358.1149230832</v>
      </c>
      <c r="AC124" s="10">
        <f t="shared" si="49"/>
        <v>86687.162569143344</v>
      </c>
      <c r="AD124" s="10">
        <f>SUM($AC$101:AC124)</f>
        <v>932738.11492308322</v>
      </c>
      <c r="AE124" s="96">
        <f t="shared" si="41"/>
        <v>6668.1486895384996</v>
      </c>
      <c r="AF124" s="96">
        <f t="shared" si="42"/>
        <v>9721.7768572887235</v>
      </c>
      <c r="AG124" s="97">
        <f t="shared" si="43"/>
        <v>376627.24426746805</v>
      </c>
      <c r="AH124" s="10">
        <f t="shared" si="50"/>
        <v>718340.94510878786</v>
      </c>
    </row>
    <row r="125" spans="7:34">
      <c r="G125">
        <v>25</v>
      </c>
      <c r="H125" s="10">
        <f t="shared" si="31"/>
        <v>0</v>
      </c>
      <c r="I125" s="10">
        <f>SUM($H$101:H125)</f>
        <v>180000</v>
      </c>
      <c r="J125" s="10">
        <f t="shared" si="44"/>
        <v>0</v>
      </c>
      <c r="K125" s="10">
        <f t="shared" si="45"/>
        <v>882304.07729639404</v>
      </c>
      <c r="L125" s="10">
        <f t="shared" si="32"/>
        <v>960829.14017577306</v>
      </c>
      <c r="M125" s="10">
        <f t="shared" si="33"/>
        <v>13349.260689494435</v>
      </c>
      <c r="N125" s="10">
        <f t="shared" si="46"/>
        <v>947479.87948627863</v>
      </c>
      <c r="O125" s="7">
        <f t="shared" si="34"/>
        <v>3789.9195179451144</v>
      </c>
      <c r="P125" s="10">
        <f t="shared" si="35"/>
        <v>943689.95996833348</v>
      </c>
      <c r="U125">
        <v>25</v>
      </c>
      <c r="V125" s="10">
        <f t="shared" si="36"/>
        <v>0</v>
      </c>
      <c r="W125" s="10">
        <f t="shared" si="47"/>
        <v>0</v>
      </c>
      <c r="X125" s="10">
        <f t="shared" si="48"/>
        <v>1111358.1149230832</v>
      </c>
      <c r="Y125" s="96">
        <f t="shared" si="37"/>
        <v>22227.162298461666</v>
      </c>
      <c r="Z125" s="96">
        <f t="shared" si="38"/>
        <v>6001.3338205846503</v>
      </c>
      <c r="AA125" s="97">
        <f t="shared" si="39"/>
        <v>0</v>
      </c>
      <c r="AB125" s="96">
        <f t="shared" si="40"/>
        <v>1205379.0114455761</v>
      </c>
      <c r="AC125" s="10">
        <f t="shared" si="49"/>
        <v>94020.896522492869</v>
      </c>
      <c r="AD125" s="10">
        <f>SUM($AC$101:AC125)</f>
        <v>1026759.0114455761</v>
      </c>
      <c r="AE125" s="96">
        <f t="shared" si="41"/>
        <v>7232.2740686734569</v>
      </c>
      <c r="AF125" s="96">
        <f t="shared" si="42"/>
        <v>9253.6661794153497</v>
      </c>
      <c r="AG125" s="97">
        <f t="shared" si="43"/>
        <v>416844.19297249586</v>
      </c>
      <c r="AH125" s="10">
        <f t="shared" si="50"/>
        <v>772048.87822499149</v>
      </c>
    </row>
    <row r="126" spans="7:34">
      <c r="G126">
        <v>26</v>
      </c>
      <c r="H126" s="10">
        <f t="shared" si="31"/>
        <v>0</v>
      </c>
      <c r="I126" s="10">
        <f>SUM($H$101:H126)</f>
        <v>180000</v>
      </c>
      <c r="J126" s="10">
        <f t="shared" si="44"/>
        <v>0</v>
      </c>
      <c r="K126" s="10">
        <f t="shared" si="45"/>
        <v>947479.87948627863</v>
      </c>
      <c r="L126" s="10">
        <f t="shared" si="32"/>
        <v>1031805.5887605574</v>
      </c>
      <c r="M126" s="10">
        <f t="shared" si="33"/>
        <v>14335.370576627383</v>
      </c>
      <c r="N126" s="10">
        <f t="shared" si="46"/>
        <v>1017470.2181839299</v>
      </c>
      <c r="O126" s="7">
        <f t="shared" si="34"/>
        <v>4069.8808727357195</v>
      </c>
      <c r="P126" s="10">
        <f t="shared" si="35"/>
        <v>1013400.3373111942</v>
      </c>
      <c r="U126">
        <v>26</v>
      </c>
      <c r="V126" s="10">
        <f t="shared" si="36"/>
        <v>0</v>
      </c>
      <c r="W126" s="10">
        <f t="shared" si="47"/>
        <v>0</v>
      </c>
      <c r="X126" s="10">
        <f t="shared" si="48"/>
        <v>1205379.0114455761</v>
      </c>
      <c r="Y126" s="96">
        <f t="shared" si="37"/>
        <v>24107.580228911524</v>
      </c>
      <c r="Z126" s="96">
        <f t="shared" si="38"/>
        <v>6509.0466618061118</v>
      </c>
      <c r="AA126" s="97">
        <f t="shared" si="39"/>
        <v>0</v>
      </c>
      <c r="AB126" s="96">
        <f t="shared" si="40"/>
        <v>1307354.0758138718</v>
      </c>
      <c r="AC126" s="10">
        <f t="shared" si="49"/>
        <v>101975.06436829572</v>
      </c>
      <c r="AD126" s="10">
        <f>SUM($AC$101:AC126)</f>
        <v>1128734.0758138718</v>
      </c>
      <c r="AE126" s="96">
        <f t="shared" si="41"/>
        <v>7844.124454883231</v>
      </c>
      <c r="AF126" s="96">
        <f t="shared" si="42"/>
        <v>8745.9533381938891</v>
      </c>
      <c r="AG126" s="97">
        <f t="shared" si="43"/>
        <v>460463.49553796899</v>
      </c>
      <c r="AH126" s="10">
        <f t="shared" si="50"/>
        <v>830300.50248282566</v>
      </c>
    </row>
    <row r="127" spans="7:34">
      <c r="G127">
        <v>27</v>
      </c>
      <c r="H127" s="10">
        <f t="shared" si="31"/>
        <v>0</v>
      </c>
      <c r="I127" s="10">
        <f>SUM($H$101:H127)</f>
        <v>180000</v>
      </c>
      <c r="J127" s="10">
        <f t="shared" si="44"/>
        <v>0</v>
      </c>
      <c r="K127" s="10">
        <f t="shared" si="45"/>
        <v>1017470.2181839299</v>
      </c>
      <c r="L127" s="10">
        <f t="shared" si="32"/>
        <v>1108025.0676022996</v>
      </c>
      <c r="M127" s="10">
        <f t="shared" si="33"/>
        <v>15394.324401122851</v>
      </c>
      <c r="N127" s="10">
        <f t="shared" si="46"/>
        <v>1092630.7432011769</v>
      </c>
      <c r="O127" s="7">
        <f t="shared" si="34"/>
        <v>4370.522972804707</v>
      </c>
      <c r="P127" s="10">
        <f t="shared" si="35"/>
        <v>1088260.2202283721</v>
      </c>
      <c r="U127">
        <v>27</v>
      </c>
      <c r="V127" s="10">
        <f t="shared" si="36"/>
        <v>0</v>
      </c>
      <c r="W127" s="10">
        <f t="shared" si="47"/>
        <v>0</v>
      </c>
      <c r="X127" s="10">
        <f t="shared" si="48"/>
        <v>1307354.0758138718</v>
      </c>
      <c r="Y127" s="96">
        <f t="shared" si="37"/>
        <v>26147.081516277438</v>
      </c>
      <c r="Z127" s="96">
        <f t="shared" si="38"/>
        <v>7059.7120093949088</v>
      </c>
      <c r="AA127" s="97">
        <f t="shared" si="39"/>
        <v>0</v>
      </c>
      <c r="AB127" s="96">
        <f t="shared" si="40"/>
        <v>1417956.2306277254</v>
      </c>
      <c r="AC127" s="10">
        <f t="shared" si="49"/>
        <v>110602.15481385356</v>
      </c>
      <c r="AD127" s="10">
        <f>SUM($AC$101:AC127)</f>
        <v>1239336.2306277254</v>
      </c>
      <c r="AE127" s="96">
        <f t="shared" si="41"/>
        <v>8507.7373837663527</v>
      </c>
      <c r="AF127" s="96">
        <f t="shared" si="42"/>
        <v>8195.287990605093</v>
      </c>
      <c r="AG127" s="97">
        <f t="shared" si="43"/>
        <v>507772.99110048119</v>
      </c>
      <c r="AH127" s="10">
        <f t="shared" si="50"/>
        <v>893480.2141528728</v>
      </c>
    </row>
    <row r="128" spans="7:34">
      <c r="G128">
        <v>28</v>
      </c>
      <c r="H128" s="10">
        <f t="shared" si="31"/>
        <v>0</v>
      </c>
      <c r="I128" s="10">
        <f>SUM($H$101:H128)</f>
        <v>180000</v>
      </c>
      <c r="J128" s="10">
        <f t="shared" si="44"/>
        <v>0</v>
      </c>
      <c r="K128" s="10">
        <f t="shared" si="45"/>
        <v>1092630.7432011769</v>
      </c>
      <c r="L128" s="10">
        <f t="shared" si="32"/>
        <v>1189874.8793460815</v>
      </c>
      <c r="M128" s="10">
        <f t="shared" si="33"/>
        <v>16531.503144633793</v>
      </c>
      <c r="N128" s="10">
        <f t="shared" si="46"/>
        <v>1173343.3762014478</v>
      </c>
      <c r="O128" s="7">
        <f t="shared" si="34"/>
        <v>4693.3735048057915</v>
      </c>
      <c r="P128" s="10">
        <f t="shared" si="35"/>
        <v>1168650.002696642</v>
      </c>
      <c r="U128">
        <v>28</v>
      </c>
      <c r="V128" s="10">
        <f t="shared" si="36"/>
        <v>0</v>
      </c>
      <c r="W128" s="10">
        <f t="shared" si="47"/>
        <v>0</v>
      </c>
      <c r="X128" s="10">
        <f t="shared" si="48"/>
        <v>1417956.2306277254</v>
      </c>
      <c r="Y128" s="96">
        <f t="shared" si="37"/>
        <v>28359.124612554508</v>
      </c>
      <c r="Z128" s="96">
        <f t="shared" si="38"/>
        <v>7656.9636453897174</v>
      </c>
      <c r="AA128" s="97">
        <f t="shared" si="39"/>
        <v>0</v>
      </c>
      <c r="AB128" s="96">
        <f t="shared" si="40"/>
        <v>1537915.3277388308</v>
      </c>
      <c r="AC128" s="10">
        <f t="shared" si="49"/>
        <v>119959.09711110545</v>
      </c>
      <c r="AD128" s="10">
        <f>SUM($AC$101:AC128)</f>
        <v>1359295.3277388308</v>
      </c>
      <c r="AE128" s="96">
        <f t="shared" si="41"/>
        <v>9227.4919664329846</v>
      </c>
      <c r="AF128" s="96">
        <f t="shared" si="42"/>
        <v>7598.0363546102835</v>
      </c>
      <c r="AG128" s="97">
        <f t="shared" si="43"/>
        <v>559084.86998758174</v>
      </c>
      <c r="AH128" s="10">
        <f t="shared" si="50"/>
        <v>962004.92943020596</v>
      </c>
    </row>
    <row r="129" spans="7:34">
      <c r="G129">
        <v>29</v>
      </c>
      <c r="H129" s="10">
        <f t="shared" si="31"/>
        <v>0</v>
      </c>
      <c r="I129" s="10">
        <f>SUM($H$101:H129)</f>
        <v>180000</v>
      </c>
      <c r="J129" s="10">
        <f t="shared" si="44"/>
        <v>0</v>
      </c>
      <c r="K129" s="10">
        <f t="shared" si="45"/>
        <v>1173343.3762014478</v>
      </c>
      <c r="L129" s="10">
        <f t="shared" si="32"/>
        <v>1277770.9366833766</v>
      </c>
      <c r="M129" s="10">
        <f t="shared" si="33"/>
        <v>17752.68528192789</v>
      </c>
      <c r="N129" s="10">
        <f t="shared" si="46"/>
        <v>1260018.2514014486</v>
      </c>
      <c r="O129" s="7">
        <f t="shared" si="34"/>
        <v>5040.0730056057946</v>
      </c>
      <c r="P129" s="10">
        <f t="shared" si="35"/>
        <v>1254978.1783958429</v>
      </c>
      <c r="U129">
        <v>29</v>
      </c>
      <c r="V129" s="10">
        <f t="shared" si="36"/>
        <v>0</v>
      </c>
      <c r="W129" s="10">
        <f t="shared" si="47"/>
        <v>0</v>
      </c>
      <c r="X129" s="10">
        <f t="shared" si="48"/>
        <v>1537915.3277388308</v>
      </c>
      <c r="Y129" s="96">
        <f t="shared" si="37"/>
        <v>30758.306554776616</v>
      </c>
      <c r="Z129" s="96">
        <f t="shared" si="38"/>
        <v>8304.7427697896874</v>
      </c>
      <c r="AA129" s="97">
        <f t="shared" si="39"/>
        <v>0</v>
      </c>
      <c r="AB129" s="96">
        <f t="shared" si="40"/>
        <v>1668022.9644655359</v>
      </c>
      <c r="AC129" s="10">
        <f t="shared" si="49"/>
        <v>130107.63672670512</v>
      </c>
      <c r="AD129" s="10">
        <f>SUM($AC$101:AC129)</f>
        <v>1489402.9644655359</v>
      </c>
      <c r="AE129" s="96">
        <f t="shared" si="41"/>
        <v>10008.137786793215</v>
      </c>
      <c r="AF129" s="96">
        <f t="shared" si="42"/>
        <v>6950.2572302103144</v>
      </c>
      <c r="AG129" s="97">
        <f t="shared" si="43"/>
        <v>614737.73382853123</v>
      </c>
      <c r="AH129" s="10">
        <f t="shared" si="50"/>
        <v>1036326.8356200011</v>
      </c>
    </row>
    <row r="130" spans="7:34">
      <c r="G130">
        <v>30</v>
      </c>
      <c r="H130" s="10">
        <f t="shared" si="31"/>
        <v>0</v>
      </c>
      <c r="I130" s="10">
        <f>SUM($H$101:H130)</f>
        <v>180000</v>
      </c>
      <c r="J130" s="10">
        <f t="shared" si="44"/>
        <v>0</v>
      </c>
      <c r="K130" s="10">
        <f t="shared" si="45"/>
        <v>1260018.2514014486</v>
      </c>
      <c r="L130" s="10">
        <f t="shared" si="32"/>
        <v>1372159.8757761775</v>
      </c>
      <c r="M130" s="10">
        <f t="shared" si="33"/>
        <v>19064.076143703911</v>
      </c>
      <c r="N130" s="10">
        <f t="shared" si="46"/>
        <v>1353095.7996324736</v>
      </c>
      <c r="O130" s="7">
        <f t="shared" si="34"/>
        <v>5412.3831985298948</v>
      </c>
      <c r="P130" s="10">
        <f t="shared" si="35"/>
        <v>1347683.4164339437</v>
      </c>
      <c r="U130">
        <v>30</v>
      </c>
      <c r="V130" s="10">
        <f t="shared" si="36"/>
        <v>0</v>
      </c>
      <c r="W130" s="10">
        <f t="shared" si="47"/>
        <v>0</v>
      </c>
      <c r="X130" s="10">
        <f t="shared" si="48"/>
        <v>1668022.9644655359</v>
      </c>
      <c r="Y130" s="96">
        <f t="shared" si="37"/>
        <v>33360.459289310718</v>
      </c>
      <c r="Z130" s="96">
        <f t="shared" si="38"/>
        <v>9007.3240081138938</v>
      </c>
      <c r="AA130" s="97">
        <f t="shared" si="39"/>
        <v>0</v>
      </c>
      <c r="AB130" s="96">
        <f t="shared" si="40"/>
        <v>1809137.7072593204</v>
      </c>
      <c r="AC130" s="10">
        <f t="shared" si="49"/>
        <v>141114.74279378448</v>
      </c>
      <c r="AD130" s="10">
        <f>SUM($AC$101:AC130)</f>
        <v>1630517.7072593204</v>
      </c>
      <c r="AE130" s="96">
        <f t="shared" si="41"/>
        <v>10854.826243555923</v>
      </c>
      <c r="AF130" s="96">
        <f t="shared" si="42"/>
        <v>6247.6759918861062</v>
      </c>
      <c r="AG130" s="97">
        <f t="shared" si="43"/>
        <v>675098.82995042508</v>
      </c>
      <c r="AH130" s="10">
        <f t="shared" si="50"/>
        <v>1116936.3750734534</v>
      </c>
    </row>
    <row r="131" spans="7:34">
      <c r="G131">
        <v>31</v>
      </c>
      <c r="H131" s="10">
        <f t="shared" si="31"/>
        <v>0</v>
      </c>
      <c r="I131" s="10">
        <f>SUM($H$101:H131)</f>
        <v>180000</v>
      </c>
      <c r="J131" s="10">
        <f t="shared" si="44"/>
        <v>0</v>
      </c>
      <c r="K131" s="10">
        <f t="shared" si="45"/>
        <v>1353095.7996324736</v>
      </c>
      <c r="L131" s="10">
        <f t="shared" si="32"/>
        <v>1473521.3257997637</v>
      </c>
      <c r="M131" s="10">
        <f t="shared" si="33"/>
        <v>20472.33944843931</v>
      </c>
      <c r="N131" s="10">
        <f t="shared" si="46"/>
        <v>1453048.9863513242</v>
      </c>
      <c r="O131" s="7">
        <f t="shared" si="34"/>
        <v>5812.1959454052976</v>
      </c>
      <c r="P131" s="10">
        <f t="shared" si="35"/>
        <v>1447236.7904059188</v>
      </c>
      <c r="U131">
        <v>31</v>
      </c>
      <c r="V131" s="10">
        <f t="shared" si="36"/>
        <v>0</v>
      </c>
      <c r="W131" s="10">
        <f t="shared" si="47"/>
        <v>0</v>
      </c>
      <c r="X131" s="10">
        <f t="shared" si="48"/>
        <v>1809137.7072593204</v>
      </c>
      <c r="Y131" s="96">
        <f t="shared" si="37"/>
        <v>36182.754145186409</v>
      </c>
      <c r="Z131" s="96">
        <f t="shared" si="38"/>
        <v>9769.3436192003319</v>
      </c>
      <c r="AA131" s="97">
        <f t="shared" si="39"/>
        <v>0</v>
      </c>
      <c r="AB131" s="96">
        <f t="shared" si="40"/>
        <v>1962190.757293459</v>
      </c>
      <c r="AC131" s="10">
        <f t="shared" si="49"/>
        <v>153053.05003413861</v>
      </c>
      <c r="AD131" s="10">
        <f>SUM($AC$101:AC131)</f>
        <v>1783570.757293459</v>
      </c>
      <c r="AE131" s="96">
        <f t="shared" si="41"/>
        <v>11773.144543760754</v>
      </c>
      <c r="AF131" s="96">
        <f t="shared" si="42"/>
        <v>5485.6563807996699</v>
      </c>
      <c r="AG131" s="97">
        <f t="shared" si="43"/>
        <v>740566.47480423108</v>
      </c>
      <c r="AH131" s="10">
        <f t="shared" si="50"/>
        <v>1204365.4815646675</v>
      </c>
    </row>
    <row r="132" spans="7:34">
      <c r="G132">
        <v>32</v>
      </c>
      <c r="H132" s="10">
        <f t="shared" si="31"/>
        <v>0</v>
      </c>
      <c r="I132" s="10">
        <f>SUM($H$101:H132)</f>
        <v>180000</v>
      </c>
      <c r="J132" s="10">
        <f t="shared" si="44"/>
        <v>0</v>
      </c>
      <c r="K132" s="10">
        <f t="shared" si="45"/>
        <v>1453048.9863513242</v>
      </c>
      <c r="L132" s="10">
        <f t="shared" si="32"/>
        <v>1582370.3461365921</v>
      </c>
      <c r="M132" s="10">
        <f t="shared" si="33"/>
        <v>21984.631163495535</v>
      </c>
      <c r="N132" s="10">
        <f t="shared" si="46"/>
        <v>1560385.7149730965</v>
      </c>
      <c r="O132" s="7">
        <f t="shared" si="34"/>
        <v>6241.5428598923863</v>
      </c>
      <c r="P132" s="10">
        <f t="shared" si="35"/>
        <v>1554144.1721132041</v>
      </c>
      <c r="U132">
        <v>32</v>
      </c>
      <c r="V132" s="10">
        <f t="shared" si="36"/>
        <v>0</v>
      </c>
      <c r="W132" s="10">
        <f t="shared" si="47"/>
        <v>0</v>
      </c>
      <c r="X132" s="10">
        <f t="shared" si="48"/>
        <v>1962190.757293459</v>
      </c>
      <c r="Y132" s="96">
        <f t="shared" si="37"/>
        <v>39243.815145869179</v>
      </c>
      <c r="Z132" s="96">
        <f t="shared" si="38"/>
        <v>10595.830089384679</v>
      </c>
      <c r="AA132" s="97">
        <f t="shared" si="39"/>
        <v>0</v>
      </c>
      <c r="AB132" s="96">
        <f t="shared" si="40"/>
        <v>2128192.0953604858</v>
      </c>
      <c r="AC132" s="10">
        <f t="shared" si="49"/>
        <v>166001.33806702681</v>
      </c>
      <c r="AD132" s="10">
        <f>SUM($AC$101:AC132)</f>
        <v>1949572.0953604858</v>
      </c>
      <c r="AE132" s="96">
        <f t="shared" si="41"/>
        <v>12769.152572162915</v>
      </c>
      <c r="AF132" s="96">
        <f t="shared" si="42"/>
        <v>4659.1699106153219</v>
      </c>
      <c r="AG132" s="97">
        <f t="shared" si="43"/>
        <v>811572.68241266906</v>
      </c>
      <c r="AH132" s="10">
        <f t="shared" si="50"/>
        <v>1299191.0904650385</v>
      </c>
    </row>
    <row r="133" spans="7:34">
      <c r="G133">
        <v>33</v>
      </c>
      <c r="H133" s="10">
        <f t="shared" si="31"/>
        <v>0</v>
      </c>
      <c r="I133" s="10">
        <f>SUM($H$101:H133)</f>
        <v>180000</v>
      </c>
      <c r="J133" s="10">
        <f t="shared" si="44"/>
        <v>0</v>
      </c>
      <c r="K133" s="10">
        <f t="shared" si="45"/>
        <v>1560385.7149730965</v>
      </c>
      <c r="L133" s="10">
        <f t="shared" si="32"/>
        <v>1699260.043605702</v>
      </c>
      <c r="M133" s="10">
        <f t="shared" si="33"/>
        <v>23608.635867542936</v>
      </c>
      <c r="N133" s="10">
        <f t="shared" si="46"/>
        <v>1675651.4077381589</v>
      </c>
      <c r="O133" s="7">
        <f t="shared" si="34"/>
        <v>6702.6056309526357</v>
      </c>
      <c r="P133" s="10">
        <f t="shared" si="35"/>
        <v>1668948.8021072063</v>
      </c>
      <c r="U133">
        <v>33</v>
      </c>
      <c r="V133" s="10">
        <f t="shared" si="36"/>
        <v>0</v>
      </c>
      <c r="W133" s="10">
        <f t="shared" si="47"/>
        <v>0</v>
      </c>
      <c r="X133" s="10">
        <f t="shared" si="48"/>
        <v>2128192.0953604858</v>
      </c>
      <c r="Y133" s="96">
        <f t="shared" si="37"/>
        <v>42563.841907209717</v>
      </c>
      <c r="Z133" s="96">
        <f t="shared" si="38"/>
        <v>11492.237314946624</v>
      </c>
      <c r="AA133" s="97">
        <f t="shared" si="39"/>
        <v>0</v>
      </c>
      <c r="AB133" s="96">
        <f t="shared" si="40"/>
        <v>2308237.1466279831</v>
      </c>
      <c r="AC133" s="10">
        <f t="shared" si="49"/>
        <v>180045.05126749724</v>
      </c>
      <c r="AD133" s="10">
        <f>SUM($AC$101:AC133)</f>
        <v>2129617.1466279831</v>
      </c>
      <c r="AE133" s="96">
        <f t="shared" si="41"/>
        <v>13849.422879767899</v>
      </c>
      <c r="AF133" s="96">
        <f t="shared" si="42"/>
        <v>3762.7626850533766</v>
      </c>
      <c r="AG133" s="97">
        <f t="shared" si="43"/>
        <v>888586.01518478093</v>
      </c>
      <c r="AH133" s="10">
        <f t="shared" si="50"/>
        <v>1402038.9458783804</v>
      </c>
    </row>
    <row r="134" spans="7:34">
      <c r="G134">
        <v>34</v>
      </c>
      <c r="H134" s="10">
        <f t="shared" si="31"/>
        <v>0</v>
      </c>
      <c r="I134" s="10">
        <f>SUM($H$101:H134)</f>
        <v>180000</v>
      </c>
      <c r="J134" s="10">
        <f t="shared" si="44"/>
        <v>0</v>
      </c>
      <c r="K134" s="10">
        <f t="shared" si="45"/>
        <v>1675651.4077381589</v>
      </c>
      <c r="L134" s="10">
        <f t="shared" si="32"/>
        <v>1824784.3830268551</v>
      </c>
      <c r="M134" s="10">
        <f t="shared" si="33"/>
        <v>25352.605799078341</v>
      </c>
      <c r="N134" s="10">
        <f t="shared" si="46"/>
        <v>1799431.7772277768</v>
      </c>
      <c r="O134" s="7">
        <f t="shared" si="34"/>
        <v>7197.7271089111073</v>
      </c>
      <c r="P134" s="10">
        <f t="shared" si="35"/>
        <v>1792234.0501188657</v>
      </c>
      <c r="U134">
        <v>34</v>
      </c>
      <c r="V134" s="10">
        <f t="shared" si="36"/>
        <v>0</v>
      </c>
      <c r="W134" s="10">
        <f t="shared" si="47"/>
        <v>0</v>
      </c>
      <c r="X134" s="10">
        <f t="shared" si="48"/>
        <v>2308237.1466279831</v>
      </c>
      <c r="Y134" s="96">
        <f t="shared" si="37"/>
        <v>46164.74293255966</v>
      </c>
      <c r="Z134" s="96">
        <f t="shared" si="38"/>
        <v>12464.480591791109</v>
      </c>
      <c r="AA134" s="97">
        <f t="shared" si="39"/>
        <v>0</v>
      </c>
      <c r="AB134" s="96">
        <f t="shared" si="40"/>
        <v>2503514.0092327106</v>
      </c>
      <c r="AC134" s="10">
        <f t="shared" si="49"/>
        <v>195276.8626047275</v>
      </c>
      <c r="AD134" s="10">
        <f>SUM($AC$101:AC134)</f>
        <v>2324894.0092327106</v>
      </c>
      <c r="AE134" s="96">
        <f t="shared" si="41"/>
        <v>15021.084055396264</v>
      </c>
      <c r="AF134" s="96">
        <f t="shared" si="42"/>
        <v>2790.5194082088919</v>
      </c>
      <c r="AG134" s="97">
        <f t="shared" si="43"/>
        <v>972114.67590941337</v>
      </c>
      <c r="AH134" s="10">
        <f t="shared" si="50"/>
        <v>1513587.729859692</v>
      </c>
    </row>
    <row r="135" spans="7:34">
      <c r="G135">
        <v>35</v>
      </c>
      <c r="H135" s="10">
        <f t="shared" si="31"/>
        <v>0</v>
      </c>
      <c r="I135" s="10">
        <f>SUM($H$101:H135)</f>
        <v>180000</v>
      </c>
      <c r="J135" s="10">
        <f t="shared" si="44"/>
        <v>0</v>
      </c>
      <c r="K135" s="10">
        <f t="shared" si="45"/>
        <v>1799431.7772277768</v>
      </c>
      <c r="L135" s="10">
        <f t="shared" si="32"/>
        <v>1959581.205401049</v>
      </c>
      <c r="M135" s="10">
        <f t="shared" si="33"/>
        <v>27225.402789456271</v>
      </c>
      <c r="N135" s="10">
        <f t="shared" si="46"/>
        <v>1932355.8026115927</v>
      </c>
      <c r="O135" s="7">
        <f t="shared" si="34"/>
        <v>7729.4232104463708</v>
      </c>
      <c r="P135" s="10">
        <f t="shared" si="35"/>
        <v>1924626.3794011464</v>
      </c>
      <c r="U135">
        <v>35</v>
      </c>
      <c r="V135" s="10">
        <f t="shared" si="36"/>
        <v>0</v>
      </c>
      <c r="W135" s="10">
        <f t="shared" si="47"/>
        <v>0</v>
      </c>
      <c r="X135" s="10">
        <f t="shared" si="48"/>
        <v>2503514.0092327106</v>
      </c>
      <c r="Y135" s="96">
        <f t="shared" si="37"/>
        <v>50070.280184654213</v>
      </c>
      <c r="Z135" s="96">
        <f t="shared" si="38"/>
        <v>13518.975649856638</v>
      </c>
      <c r="AA135" s="97">
        <f t="shared" si="39"/>
        <v>0</v>
      </c>
      <c r="AB135" s="96">
        <f t="shared" si="40"/>
        <v>2715311.294413798</v>
      </c>
      <c r="AC135" s="10">
        <f t="shared" si="49"/>
        <v>211797.28518108744</v>
      </c>
      <c r="AD135" s="10">
        <f>SUM($AC$101:AC135)</f>
        <v>2536691.294413798</v>
      </c>
      <c r="AE135" s="96">
        <f t="shared" si="41"/>
        <v>16291.867766482788</v>
      </c>
      <c r="AF135" s="96">
        <f t="shared" si="42"/>
        <v>1736.0243501433624</v>
      </c>
      <c r="AG135" s="97">
        <f t="shared" si="43"/>
        <v>1062709.8613313499</v>
      </c>
      <c r="AH135" s="10">
        <f t="shared" si="50"/>
        <v>1634573.5409658218</v>
      </c>
    </row>
    <row r="136" spans="7:34">
      <c r="G136">
        <v>36</v>
      </c>
      <c r="H136" s="10">
        <f t="shared" si="31"/>
        <v>0</v>
      </c>
      <c r="I136" s="10">
        <f>SUM($H$101:H136)</f>
        <v>180000</v>
      </c>
      <c r="J136" s="10">
        <f t="shared" si="44"/>
        <v>0</v>
      </c>
      <c r="K136" s="10">
        <f t="shared" si="45"/>
        <v>1932355.8026115927</v>
      </c>
      <c r="L136" s="10">
        <f t="shared" si="32"/>
        <v>2104335.4690440246</v>
      </c>
      <c r="M136" s="10">
        <f t="shared" si="33"/>
        <v>29236.543293513423</v>
      </c>
      <c r="N136" s="10">
        <f t="shared" si="46"/>
        <v>2075098.9257505112</v>
      </c>
      <c r="O136" s="7">
        <f t="shared" si="34"/>
        <v>8300.3957030020447</v>
      </c>
      <c r="P136" s="10">
        <f t="shared" si="35"/>
        <v>2066798.5300475091</v>
      </c>
      <c r="U136">
        <v>36</v>
      </c>
      <c r="V136" s="10">
        <f t="shared" si="36"/>
        <v>0</v>
      </c>
      <c r="W136" s="10">
        <f t="shared" si="47"/>
        <v>0</v>
      </c>
      <c r="X136" s="10">
        <f t="shared" si="48"/>
        <v>2715311.294413798</v>
      </c>
      <c r="Y136" s="96">
        <f t="shared" si="37"/>
        <v>54306.225888275963</v>
      </c>
      <c r="Z136" s="96">
        <f t="shared" si="38"/>
        <v>14662.680989834511</v>
      </c>
      <c r="AA136" s="97">
        <f t="shared" si="39"/>
        <v>0</v>
      </c>
      <c r="AB136" s="96">
        <f t="shared" si="40"/>
        <v>2945026.6299212058</v>
      </c>
      <c r="AC136" s="10">
        <f t="shared" si="49"/>
        <v>229715.33550740778</v>
      </c>
      <c r="AD136" s="10">
        <f>SUM($AC$101:AC136)</f>
        <v>2766406.6299212058</v>
      </c>
      <c r="AE136" s="96">
        <f t="shared" si="41"/>
        <v>17670.159779527236</v>
      </c>
      <c r="AF136" s="96">
        <f t="shared" si="42"/>
        <v>592.31901016548989</v>
      </c>
      <c r="AG136" s="97">
        <f t="shared" si="43"/>
        <v>1160969.3994399824</v>
      </c>
      <c r="AH136" s="10">
        <f t="shared" si="50"/>
        <v>1765794.7516915307</v>
      </c>
    </row>
    <row r="137" spans="7:34">
      <c r="G137">
        <v>37</v>
      </c>
      <c r="H137" s="10">
        <f t="shared" si="31"/>
        <v>0</v>
      </c>
      <c r="I137" s="10">
        <f>SUM($H$101:H137)</f>
        <v>180000</v>
      </c>
      <c r="J137" s="10">
        <f t="shared" si="44"/>
        <v>0</v>
      </c>
      <c r="K137" s="10">
        <f t="shared" si="45"/>
        <v>2075098.9257505112</v>
      </c>
      <c r="L137" s="10">
        <f t="shared" si="32"/>
        <v>2259782.7301423065</v>
      </c>
      <c r="M137" s="10">
        <f t="shared" si="33"/>
        <v>31396.246746605204</v>
      </c>
      <c r="N137" s="10">
        <f t="shared" si="46"/>
        <v>2228386.4833957013</v>
      </c>
      <c r="O137" s="7">
        <f t="shared" si="34"/>
        <v>8913.5459335828054</v>
      </c>
      <c r="P137" s="10">
        <f t="shared" si="35"/>
        <v>2219472.9374621185</v>
      </c>
      <c r="U137">
        <v>37</v>
      </c>
      <c r="V137" s="10">
        <f t="shared" si="36"/>
        <v>0</v>
      </c>
      <c r="W137" s="10">
        <f t="shared" si="47"/>
        <v>0</v>
      </c>
      <c r="X137" s="10">
        <f t="shared" si="48"/>
        <v>2945026.6299212058</v>
      </c>
      <c r="Y137" s="96">
        <f t="shared" si="37"/>
        <v>58900.532598424121</v>
      </c>
      <c r="Z137" s="96">
        <f t="shared" si="38"/>
        <v>15255.000000000002</v>
      </c>
      <c r="AA137" s="97">
        <f t="shared" si="39"/>
        <v>1008.2236913381307</v>
      </c>
      <c r="AB137" s="96">
        <f t="shared" si="40"/>
        <v>3193815.8029227764</v>
      </c>
      <c r="AC137" s="10">
        <f t="shared" si="49"/>
        <v>248789.17300157063</v>
      </c>
      <c r="AD137" s="10">
        <f>SUM($AC$101:AC137)</f>
        <v>3015195.8029227764</v>
      </c>
      <c r="AE137" s="96">
        <f t="shared" si="41"/>
        <v>19162.89481753666</v>
      </c>
      <c r="AF137" s="96">
        <f t="shared" si="42"/>
        <v>0</v>
      </c>
      <c r="AG137" s="97">
        <f t="shared" si="43"/>
        <v>1266382.2372275661</v>
      </c>
      <c r="AH137" s="10">
        <f t="shared" si="50"/>
        <v>1908270.6708776737</v>
      </c>
    </row>
    <row r="138" spans="7:34">
      <c r="G138">
        <v>38</v>
      </c>
      <c r="H138" s="10">
        <f t="shared" si="31"/>
        <v>0</v>
      </c>
      <c r="I138" s="10">
        <f>SUM($H$101:H138)</f>
        <v>180000</v>
      </c>
      <c r="J138" s="10">
        <f t="shared" si="44"/>
        <v>0</v>
      </c>
      <c r="K138" s="10">
        <f t="shared" si="45"/>
        <v>2228386.4833957013</v>
      </c>
      <c r="L138" s="10">
        <f t="shared" si="32"/>
        <v>2426712.8804179188</v>
      </c>
      <c r="M138" s="10">
        <f t="shared" si="33"/>
        <v>33715.487493776978</v>
      </c>
      <c r="N138" s="10">
        <f t="shared" si="46"/>
        <v>2392997.3929241416</v>
      </c>
      <c r="O138" s="7">
        <f t="shared" si="34"/>
        <v>9571.9895716965657</v>
      </c>
      <c r="P138" s="10">
        <f t="shared" si="35"/>
        <v>2383425.403352445</v>
      </c>
      <c r="U138">
        <v>38</v>
      </c>
      <c r="V138" s="10">
        <f t="shared" si="36"/>
        <v>0</v>
      </c>
      <c r="W138" s="10">
        <f t="shared" si="47"/>
        <v>0</v>
      </c>
      <c r="X138" s="10">
        <f t="shared" si="48"/>
        <v>3193815.8029227764</v>
      </c>
      <c r="Y138" s="96">
        <f t="shared" si="37"/>
        <v>63876.31605845553</v>
      </c>
      <c r="Z138" s="96">
        <f t="shared" si="38"/>
        <v>15255.000000000002</v>
      </c>
      <c r="AA138" s="97">
        <f t="shared" si="39"/>
        <v>3098.0527445513226</v>
      </c>
      <c r="AB138" s="96">
        <f t="shared" si="40"/>
        <v>3462906.1724412753</v>
      </c>
      <c r="AC138" s="10">
        <f t="shared" si="49"/>
        <v>269090.36951849889</v>
      </c>
      <c r="AD138" s="10">
        <f>SUM($AC$101:AC138)</f>
        <v>3284286.1724412753</v>
      </c>
      <c r="AE138" s="96">
        <f t="shared" si="41"/>
        <v>20777.437034647653</v>
      </c>
      <c r="AF138" s="96">
        <f t="shared" si="42"/>
        <v>0</v>
      </c>
      <c r="AG138" s="97">
        <f t="shared" si="43"/>
        <v>1379400.1924253355</v>
      </c>
      <c r="AH138" s="10">
        <f t="shared" si="50"/>
        <v>2062728.5429812924</v>
      </c>
    </row>
    <row r="139" spans="7:34">
      <c r="G139">
        <v>39</v>
      </c>
      <c r="H139" s="10">
        <f t="shared" si="31"/>
        <v>0</v>
      </c>
      <c r="I139" s="10">
        <f>SUM($H$101:H139)</f>
        <v>180000</v>
      </c>
      <c r="J139" s="10">
        <f t="shared" si="44"/>
        <v>0</v>
      </c>
      <c r="K139" s="10">
        <f t="shared" si="45"/>
        <v>2392997.3929241416</v>
      </c>
      <c r="L139" s="10">
        <f t="shared" si="32"/>
        <v>2605974.1608943902</v>
      </c>
      <c r="M139" s="10">
        <f t="shared" si="33"/>
        <v>36206.05055494226</v>
      </c>
      <c r="N139" s="10">
        <f t="shared" si="46"/>
        <v>2569768.1103394479</v>
      </c>
      <c r="O139" s="7">
        <f t="shared" si="34"/>
        <v>10279.072441357792</v>
      </c>
      <c r="P139" s="10">
        <f t="shared" si="35"/>
        <v>2559489.0378980902</v>
      </c>
      <c r="U139">
        <v>39</v>
      </c>
      <c r="V139" s="10">
        <f t="shared" si="36"/>
        <v>0</v>
      </c>
      <c r="W139" s="10">
        <f t="shared" si="47"/>
        <v>0</v>
      </c>
      <c r="X139" s="10">
        <f t="shared" si="48"/>
        <v>3462906.1724412753</v>
      </c>
      <c r="Y139" s="96">
        <f t="shared" si="37"/>
        <v>69258.123448825514</v>
      </c>
      <c r="Z139" s="96">
        <f t="shared" si="38"/>
        <v>15255.000000000002</v>
      </c>
      <c r="AA139" s="97">
        <f t="shared" si="39"/>
        <v>5358.4118485067156</v>
      </c>
      <c r="AB139" s="96">
        <f t="shared" si="40"/>
        <v>3753954.3161124839</v>
      </c>
      <c r="AC139" s="10">
        <f t="shared" si="49"/>
        <v>291048.14367120853</v>
      </c>
      <c r="AD139" s="10">
        <f>SUM($AC$101:AC139)</f>
        <v>3575334.3161124839</v>
      </c>
      <c r="AE139" s="96">
        <f t="shared" si="41"/>
        <v>22523.725896674907</v>
      </c>
      <c r="AF139" s="96">
        <f t="shared" si="42"/>
        <v>0</v>
      </c>
      <c r="AG139" s="97">
        <f t="shared" si="43"/>
        <v>1501640.4127672431</v>
      </c>
      <c r="AH139" s="10">
        <f t="shared" si="50"/>
        <v>2229790.1774485656</v>
      </c>
    </row>
    <row r="140" spans="7:34">
      <c r="G140">
        <v>40</v>
      </c>
      <c r="H140" s="10">
        <f t="shared" si="31"/>
        <v>0</v>
      </c>
      <c r="I140" s="10">
        <f>SUM($H$101:H140)</f>
        <v>180000</v>
      </c>
      <c r="J140" s="10">
        <f t="shared" si="44"/>
        <v>0</v>
      </c>
      <c r="K140" s="10">
        <f t="shared" si="45"/>
        <v>2569768.1103394479</v>
      </c>
      <c r="L140" s="10">
        <f t="shared" si="32"/>
        <v>2798477.4721596586</v>
      </c>
      <c r="M140" s="10">
        <f t="shared" si="33"/>
        <v>38880.591509435821</v>
      </c>
      <c r="N140" s="10">
        <f t="shared" si="46"/>
        <v>2759596.8806502228</v>
      </c>
      <c r="O140" s="7">
        <f t="shared" si="34"/>
        <v>11038.387522600891</v>
      </c>
      <c r="P140" s="10">
        <f t="shared" si="35"/>
        <v>2748558.4931276217</v>
      </c>
      <c r="U140">
        <v>40</v>
      </c>
      <c r="V140" s="10">
        <f t="shared" si="36"/>
        <v>0</v>
      </c>
      <c r="W140" s="10">
        <f t="shared" si="47"/>
        <v>0</v>
      </c>
      <c r="X140" s="10">
        <f t="shared" si="48"/>
        <v>3753954.3161124839</v>
      </c>
      <c r="Y140" s="96">
        <f t="shared" si="37"/>
        <v>75079.086322249685</v>
      </c>
      <c r="Z140" s="96">
        <f t="shared" si="38"/>
        <v>15255.000000000002</v>
      </c>
      <c r="AA140" s="97">
        <f t="shared" si="39"/>
        <v>7803.216255344867</v>
      </c>
      <c r="AB140" s="96">
        <f t="shared" si="40"/>
        <v>4068751.9883072628</v>
      </c>
      <c r="AC140" s="10">
        <f t="shared" si="49"/>
        <v>314797.67219477892</v>
      </c>
      <c r="AD140" s="10">
        <f>SUM($AC$101:AC140)</f>
        <v>3890131.9883072628</v>
      </c>
      <c r="AE140" s="96">
        <f t="shared" si="41"/>
        <v>24412.511929843578</v>
      </c>
      <c r="AF140" s="96">
        <f t="shared" si="42"/>
        <v>0</v>
      </c>
      <c r="AG140" s="97">
        <f t="shared" si="43"/>
        <v>1633855.4350890503</v>
      </c>
      <c r="AH140" s="10">
        <f t="shared" si="50"/>
        <v>2410484.0412883689</v>
      </c>
    </row>
    <row r="141" spans="7:34">
      <c r="G141">
        <v>41</v>
      </c>
      <c r="H141" s="10">
        <f t="shared" si="31"/>
        <v>0</v>
      </c>
      <c r="I141" s="10">
        <f>SUM($H$101:H141)</f>
        <v>180000</v>
      </c>
      <c r="J141" s="10">
        <f t="shared" si="44"/>
        <v>0</v>
      </c>
      <c r="K141" s="10">
        <f t="shared" si="45"/>
        <v>2759596.8806502228</v>
      </c>
      <c r="L141" s="10">
        <f t="shared" si="32"/>
        <v>3005201.0030280924</v>
      </c>
      <c r="M141" s="10">
        <f t="shared" si="33"/>
        <v>41752.700804237844</v>
      </c>
      <c r="N141" s="10">
        <f t="shared" si="46"/>
        <v>2963448.3022238547</v>
      </c>
      <c r="O141" s="7">
        <f t="shared" si="34"/>
        <v>11853.793208895419</v>
      </c>
      <c r="P141" s="10">
        <f t="shared" si="35"/>
        <v>2951594.5090149594</v>
      </c>
      <c r="U141">
        <v>41</v>
      </c>
      <c r="V141" s="10">
        <f t="shared" si="36"/>
        <v>0</v>
      </c>
      <c r="W141" s="10">
        <f t="shared" si="47"/>
        <v>0</v>
      </c>
      <c r="X141" s="10">
        <f t="shared" si="48"/>
        <v>4068751.9883072628</v>
      </c>
      <c r="Y141" s="96">
        <f t="shared" si="37"/>
        <v>81375.039766145259</v>
      </c>
      <c r="Z141" s="96">
        <f t="shared" si="38"/>
        <v>15255.000000000002</v>
      </c>
      <c r="AA141" s="97">
        <f t="shared" si="39"/>
        <v>10447.516701781009</v>
      </c>
      <c r="AB141" s="96">
        <f t="shared" si="40"/>
        <v>4409237.1505531361</v>
      </c>
      <c r="AC141" s="10">
        <f t="shared" si="49"/>
        <v>340485.16224587336</v>
      </c>
      <c r="AD141" s="10">
        <f>SUM($AC$101:AC141)</f>
        <v>4230617.1505531361</v>
      </c>
      <c r="AE141" s="96">
        <f t="shared" si="41"/>
        <v>26455.422903318817</v>
      </c>
      <c r="AF141" s="96">
        <f t="shared" si="42"/>
        <v>0</v>
      </c>
      <c r="AG141" s="97">
        <f t="shared" si="43"/>
        <v>1776859.203232317</v>
      </c>
      <c r="AH141" s="10">
        <f t="shared" si="50"/>
        <v>2605922.5244175</v>
      </c>
    </row>
    <row r="142" spans="7:34">
      <c r="G142">
        <v>42</v>
      </c>
      <c r="H142" s="10">
        <f t="shared" si="31"/>
        <v>0</v>
      </c>
      <c r="I142" s="10">
        <f>SUM($H$101:H142)</f>
        <v>180000</v>
      </c>
      <c r="J142" s="10">
        <f t="shared" si="44"/>
        <v>0</v>
      </c>
      <c r="K142" s="10">
        <f t="shared" si="45"/>
        <v>2963448.3022238547</v>
      </c>
      <c r="L142" s="10">
        <f t="shared" si="32"/>
        <v>3227195.2011217778</v>
      </c>
      <c r="M142" s="10">
        <f t="shared" si="33"/>
        <v>44836.972812646927</v>
      </c>
      <c r="N142" s="10">
        <f t="shared" si="46"/>
        <v>3182358.2283091308</v>
      </c>
      <c r="O142" s="7">
        <f t="shared" si="34"/>
        <v>12729.432913236524</v>
      </c>
      <c r="P142" s="10">
        <f t="shared" si="35"/>
        <v>3169628.7953958944</v>
      </c>
      <c r="U142">
        <v>42</v>
      </c>
      <c r="V142" s="10">
        <f t="shared" si="36"/>
        <v>0</v>
      </c>
      <c r="W142" s="10">
        <f t="shared" si="47"/>
        <v>0</v>
      </c>
      <c r="X142" s="10">
        <f t="shared" si="48"/>
        <v>4409237.1505531361</v>
      </c>
      <c r="Y142" s="96">
        <f t="shared" si="37"/>
        <v>88184.743011062717</v>
      </c>
      <c r="Z142" s="96">
        <f t="shared" si="38"/>
        <v>15255.000000000002</v>
      </c>
      <c r="AA142" s="97">
        <f t="shared" si="39"/>
        <v>13307.59206464634</v>
      </c>
      <c r="AB142" s="96">
        <f t="shared" si="40"/>
        <v>4777505.9020382715</v>
      </c>
      <c r="AC142" s="10">
        <f t="shared" si="49"/>
        <v>368268.75148513541</v>
      </c>
      <c r="AD142" s="10">
        <f>SUM($AC$101:AC142)</f>
        <v>4598885.9020382715</v>
      </c>
      <c r="AE142" s="96">
        <f t="shared" si="41"/>
        <v>28665.03541222963</v>
      </c>
      <c r="AF142" s="96">
        <f t="shared" si="42"/>
        <v>0</v>
      </c>
      <c r="AG142" s="97">
        <f t="shared" si="43"/>
        <v>1931532.078856074</v>
      </c>
      <c r="AH142" s="10">
        <f t="shared" si="50"/>
        <v>2817308.7877699677</v>
      </c>
    </row>
    <row r="143" spans="7:34">
      <c r="G143">
        <v>43</v>
      </c>
      <c r="H143" s="10">
        <f t="shared" si="31"/>
        <v>0</v>
      </c>
      <c r="I143" s="10">
        <f>SUM($H$101:H143)</f>
        <v>180000</v>
      </c>
      <c r="J143" s="10">
        <f t="shared" si="44"/>
        <v>0</v>
      </c>
      <c r="K143" s="10">
        <f t="shared" si="45"/>
        <v>3182358.2283091308</v>
      </c>
      <c r="L143" s="10">
        <f t="shared" si="32"/>
        <v>3465588.1106286431</v>
      </c>
      <c r="M143" s="10">
        <f t="shared" si="33"/>
        <v>48149.079994317093</v>
      </c>
      <c r="N143" s="10">
        <f t="shared" si="46"/>
        <v>3417439.0306343259</v>
      </c>
      <c r="O143" s="7">
        <f t="shared" si="34"/>
        <v>13669.756122537303</v>
      </c>
      <c r="P143" s="10">
        <f t="shared" si="35"/>
        <v>3403769.2745117885</v>
      </c>
      <c r="U143">
        <v>43</v>
      </c>
      <c r="V143" s="10">
        <f t="shared" si="36"/>
        <v>0</v>
      </c>
      <c r="W143" s="10">
        <f t="shared" si="47"/>
        <v>0</v>
      </c>
      <c r="X143" s="10">
        <f t="shared" si="48"/>
        <v>4777505.9020382715</v>
      </c>
      <c r="Y143" s="96">
        <f t="shared" si="37"/>
        <v>95550.118040765432</v>
      </c>
      <c r="Z143" s="96">
        <f t="shared" si="38"/>
        <v>15255.000000000002</v>
      </c>
      <c r="AA143" s="97">
        <f t="shared" si="39"/>
        <v>16401.049577121481</v>
      </c>
      <c r="AB143" s="96">
        <f t="shared" si="40"/>
        <v>5175825.3836445948</v>
      </c>
      <c r="AC143" s="10">
        <f t="shared" si="49"/>
        <v>398319.48160632327</v>
      </c>
      <c r="AD143" s="10">
        <f>SUM($AC$101:AC143)</f>
        <v>4997205.3836445948</v>
      </c>
      <c r="AE143" s="96">
        <f t="shared" si="41"/>
        <v>31054.952301867568</v>
      </c>
      <c r="AF143" s="96">
        <f t="shared" si="42"/>
        <v>0</v>
      </c>
      <c r="AG143" s="97">
        <f t="shared" si="43"/>
        <v>2098826.2611307297</v>
      </c>
      <c r="AH143" s="10">
        <f t="shared" si="50"/>
        <v>3045944.1702119978</v>
      </c>
    </row>
    <row r="144" spans="7:34">
      <c r="G144">
        <v>44</v>
      </c>
      <c r="H144" s="10">
        <f t="shared" si="31"/>
        <v>0</v>
      </c>
      <c r="I144" s="10">
        <f>SUM($H$101:H144)</f>
        <v>180000</v>
      </c>
      <c r="J144" s="10">
        <f t="shared" si="44"/>
        <v>0</v>
      </c>
      <c r="K144" s="10">
        <f t="shared" si="45"/>
        <v>3417439.0306343259</v>
      </c>
      <c r="L144" s="10">
        <f t="shared" si="32"/>
        <v>3721591.1043607807</v>
      </c>
      <c r="M144" s="10">
        <f t="shared" si="33"/>
        <v>51705.852533497309</v>
      </c>
      <c r="N144" s="10">
        <f t="shared" si="46"/>
        <v>3669885.2518272833</v>
      </c>
      <c r="O144" s="7">
        <f t="shared" si="34"/>
        <v>14679.541007309133</v>
      </c>
      <c r="P144" s="10">
        <f t="shared" si="35"/>
        <v>3655205.7108199741</v>
      </c>
      <c r="U144">
        <v>44</v>
      </c>
      <c r="V144" s="10">
        <f t="shared" si="36"/>
        <v>0</v>
      </c>
      <c r="W144" s="10">
        <f t="shared" si="47"/>
        <v>0</v>
      </c>
      <c r="X144" s="10">
        <f t="shared" si="48"/>
        <v>5175825.3836445948</v>
      </c>
      <c r="Y144" s="96">
        <f t="shared" si="37"/>
        <v>103516.50767289189</v>
      </c>
      <c r="Z144" s="96">
        <f t="shared" si="38"/>
        <v>15255.000000000002</v>
      </c>
      <c r="AA144" s="97">
        <f t="shared" si="39"/>
        <v>19746.933222614596</v>
      </c>
      <c r="AB144" s="96">
        <f t="shared" si="40"/>
        <v>5606647.7349499948</v>
      </c>
      <c r="AC144" s="10">
        <f t="shared" si="49"/>
        <v>430822.35130540002</v>
      </c>
      <c r="AD144" s="10">
        <f>SUM($AC$101:AC144)</f>
        <v>5428027.7349499948</v>
      </c>
      <c r="AE144" s="96">
        <f t="shared" si="41"/>
        <v>33639.886409699968</v>
      </c>
      <c r="AF144" s="96">
        <f t="shared" si="42"/>
        <v>0</v>
      </c>
      <c r="AG144" s="97">
        <f t="shared" si="43"/>
        <v>2279771.6486789975</v>
      </c>
      <c r="AH144" s="10">
        <f t="shared" si="50"/>
        <v>3293236.1998612974</v>
      </c>
    </row>
    <row r="145" spans="7:34">
      <c r="G145">
        <v>45</v>
      </c>
      <c r="H145" s="10">
        <f t="shared" si="31"/>
        <v>0</v>
      </c>
      <c r="I145" s="10">
        <f>SUM($H$101:H145)</f>
        <v>180000</v>
      </c>
      <c r="J145" s="10">
        <f t="shared" si="44"/>
        <v>0</v>
      </c>
      <c r="K145" s="10">
        <f t="shared" si="45"/>
        <v>3669885.2518272833</v>
      </c>
      <c r="L145" s="10">
        <f t="shared" si="32"/>
        <v>3996505.0392399114</v>
      </c>
      <c r="M145" s="10">
        <f t="shared" si="33"/>
        <v>55525.363860146776</v>
      </c>
      <c r="N145" s="10">
        <f t="shared" si="46"/>
        <v>3940979.6753797648</v>
      </c>
      <c r="O145" s="7">
        <f t="shared" si="34"/>
        <v>15763.91870151906</v>
      </c>
      <c r="P145" s="10">
        <f t="shared" si="35"/>
        <v>3925215.7566782455</v>
      </c>
      <c r="U145">
        <v>45</v>
      </c>
      <c r="V145" s="10">
        <f t="shared" si="36"/>
        <v>0</v>
      </c>
      <c r="W145" s="10">
        <f t="shared" si="47"/>
        <v>0</v>
      </c>
      <c r="X145" s="10">
        <f t="shared" si="48"/>
        <v>5606647.7349499948</v>
      </c>
      <c r="Y145" s="96">
        <f t="shared" si="37"/>
        <v>112132.95469899989</v>
      </c>
      <c r="Z145" s="96">
        <f t="shared" si="38"/>
        <v>15255.000000000002</v>
      </c>
      <c r="AA145" s="97">
        <f t="shared" si="39"/>
        <v>23365.840973579954</v>
      </c>
      <c r="AB145" s="96">
        <f t="shared" si="40"/>
        <v>6072625.1901219152</v>
      </c>
      <c r="AC145" s="10">
        <f t="shared" si="49"/>
        <v>465977.45517192036</v>
      </c>
      <c r="AD145" s="10">
        <f>SUM($AC$101:AC145)</f>
        <v>5894005.1901219152</v>
      </c>
      <c r="AE145" s="96">
        <f t="shared" si="41"/>
        <v>36435.751140731496</v>
      </c>
      <c r="AF145" s="96">
        <f t="shared" si="42"/>
        <v>0</v>
      </c>
      <c r="AG145" s="97">
        <f t="shared" si="43"/>
        <v>2475482.1798512042</v>
      </c>
      <c r="AH145" s="10">
        <f t="shared" si="50"/>
        <v>3560707.2591299796</v>
      </c>
    </row>
    <row r="146" spans="7:34">
      <c r="G146">
        <v>46</v>
      </c>
      <c r="H146" s="10">
        <f t="shared" si="31"/>
        <v>0</v>
      </c>
      <c r="I146" s="10">
        <f>SUM($H$101:H146)</f>
        <v>180000</v>
      </c>
      <c r="J146" s="10">
        <f t="shared" si="44"/>
        <v>0</v>
      </c>
      <c r="K146" s="10">
        <f t="shared" si="45"/>
        <v>3940979.6753797648</v>
      </c>
      <c r="L146" s="10">
        <f t="shared" si="32"/>
        <v>4291726.8664885638</v>
      </c>
      <c r="M146" s="10">
        <f t="shared" si="33"/>
        <v>59627.022488495844</v>
      </c>
      <c r="N146" s="10">
        <f t="shared" si="46"/>
        <v>4232099.8440000676</v>
      </c>
      <c r="O146" s="7">
        <f t="shared" si="34"/>
        <v>16928.39937600027</v>
      </c>
      <c r="P146" s="10">
        <f t="shared" si="35"/>
        <v>4215171.4446240673</v>
      </c>
      <c r="U146">
        <v>46</v>
      </c>
      <c r="V146" s="10">
        <f t="shared" si="36"/>
        <v>0</v>
      </c>
      <c r="W146" s="10">
        <f t="shared" si="47"/>
        <v>0</v>
      </c>
      <c r="X146" s="10">
        <f t="shared" si="48"/>
        <v>6072625.1901219152</v>
      </c>
      <c r="Y146" s="96">
        <f t="shared" si="37"/>
        <v>121452.50380243831</v>
      </c>
      <c r="Z146" s="96">
        <f t="shared" si="38"/>
        <v>15255.000000000002</v>
      </c>
      <c r="AA146" s="97">
        <f t="shared" si="39"/>
        <v>27280.051597024089</v>
      </c>
      <c r="AB146" s="96">
        <f t="shared" si="40"/>
        <v>6576626.4056358635</v>
      </c>
      <c r="AC146" s="10">
        <f t="shared" si="49"/>
        <v>504001.21551394835</v>
      </c>
      <c r="AD146" s="10">
        <f>SUM($AC$101:AC146)</f>
        <v>6398006.4056358635</v>
      </c>
      <c r="AE146" s="96">
        <f t="shared" si="41"/>
        <v>39459.758433815179</v>
      </c>
      <c r="AF146" s="96">
        <f t="shared" si="42"/>
        <v>0</v>
      </c>
      <c r="AG146" s="97">
        <f t="shared" si="43"/>
        <v>2687162.6903670626</v>
      </c>
      <c r="AH146" s="10">
        <f t="shared" si="50"/>
        <v>3850003.9568349859</v>
      </c>
    </row>
    <row r="147" spans="7:34">
      <c r="G147">
        <v>47</v>
      </c>
      <c r="H147" s="10">
        <f t="shared" si="31"/>
        <v>0</v>
      </c>
      <c r="I147" s="10">
        <f>SUM($H$101:H147)</f>
        <v>180000</v>
      </c>
      <c r="J147" s="10">
        <f t="shared" si="44"/>
        <v>0</v>
      </c>
      <c r="K147" s="10">
        <f t="shared" si="45"/>
        <v>4232099.8440000676</v>
      </c>
      <c r="L147" s="10">
        <f t="shared" si="32"/>
        <v>4608756.730116073</v>
      </c>
      <c r="M147" s="10">
        <f t="shared" si="33"/>
        <v>64031.670639720935</v>
      </c>
      <c r="N147" s="10">
        <f t="shared" si="46"/>
        <v>4544725.0594763523</v>
      </c>
      <c r="O147" s="7">
        <f t="shared" si="34"/>
        <v>18178.900237905407</v>
      </c>
      <c r="P147" s="10">
        <f t="shared" si="35"/>
        <v>4526546.1592384465</v>
      </c>
      <c r="U147">
        <v>47</v>
      </c>
      <c r="V147" s="10">
        <f t="shared" si="36"/>
        <v>0</v>
      </c>
      <c r="W147" s="10">
        <f t="shared" si="47"/>
        <v>0</v>
      </c>
      <c r="X147" s="10">
        <f t="shared" si="48"/>
        <v>6576626.4056358635</v>
      </c>
      <c r="Y147" s="96">
        <f t="shared" si="37"/>
        <v>131532.52811271726</v>
      </c>
      <c r="Z147" s="96">
        <f t="shared" si="38"/>
        <v>15255.000000000002</v>
      </c>
      <c r="AA147" s="97">
        <f t="shared" si="39"/>
        <v>31513.66180734125</v>
      </c>
      <c r="AB147" s="96">
        <f t="shared" si="40"/>
        <v>7121754.1203357512</v>
      </c>
      <c r="AC147" s="10">
        <f t="shared" si="49"/>
        <v>545127.71469988767</v>
      </c>
      <c r="AD147" s="10">
        <f>SUM($AC$101:AC147)</f>
        <v>6943134.1203357512</v>
      </c>
      <c r="AE147" s="96">
        <f t="shared" si="41"/>
        <v>42730.52472201451</v>
      </c>
      <c r="AF147" s="96">
        <f t="shared" si="42"/>
        <v>0</v>
      </c>
      <c r="AG147" s="97">
        <f t="shared" si="43"/>
        <v>2916116.3305410156</v>
      </c>
      <c r="AH147" s="10">
        <f t="shared" si="50"/>
        <v>4162907.2650727211</v>
      </c>
    </row>
    <row r="148" spans="7:34">
      <c r="G148">
        <v>48</v>
      </c>
      <c r="H148" s="10">
        <f t="shared" si="31"/>
        <v>0</v>
      </c>
      <c r="I148" s="10">
        <f>SUM($H$101:H148)</f>
        <v>180000</v>
      </c>
      <c r="J148" s="10">
        <f t="shared" si="44"/>
        <v>0</v>
      </c>
      <c r="K148" s="10">
        <f t="shared" si="45"/>
        <v>4544725.0594763523</v>
      </c>
      <c r="L148" s="10">
        <f t="shared" si="32"/>
        <v>4949205.5897697471</v>
      </c>
      <c r="M148" s="10">
        <f t="shared" si="33"/>
        <v>68761.690149877119</v>
      </c>
      <c r="N148" s="10">
        <f t="shared" si="46"/>
        <v>4880443.8996198699</v>
      </c>
      <c r="O148" s="7">
        <f t="shared" si="34"/>
        <v>19521.775598479479</v>
      </c>
      <c r="P148" s="10">
        <f t="shared" si="35"/>
        <v>4860922.1240213905</v>
      </c>
      <c r="U148">
        <v>48</v>
      </c>
      <c r="V148" s="10">
        <f t="shared" si="36"/>
        <v>0</v>
      </c>
      <c r="W148" s="10">
        <f t="shared" si="47"/>
        <v>0</v>
      </c>
      <c r="X148" s="10">
        <f t="shared" si="48"/>
        <v>7121754.1203357512</v>
      </c>
      <c r="Y148" s="96">
        <f t="shared" si="37"/>
        <v>142435.08240671502</v>
      </c>
      <c r="Z148" s="96">
        <f t="shared" si="38"/>
        <v>15255.000000000002</v>
      </c>
      <c r="AA148" s="97">
        <f t="shared" si="39"/>
        <v>36092.734610820306</v>
      </c>
      <c r="AB148" s="96">
        <f t="shared" si="40"/>
        <v>7711364.2565551484</v>
      </c>
      <c r="AC148" s="10">
        <f t="shared" si="49"/>
        <v>589610.13621939719</v>
      </c>
      <c r="AD148" s="10">
        <f>SUM($AC$101:AC148)</f>
        <v>7532744.2565551484</v>
      </c>
      <c r="AE148" s="96">
        <f t="shared" si="41"/>
        <v>46268.185539330894</v>
      </c>
      <c r="AF148" s="96">
        <f t="shared" si="42"/>
        <v>0</v>
      </c>
      <c r="AG148" s="97">
        <f t="shared" si="43"/>
        <v>3163752.5877531623</v>
      </c>
      <c r="AH148" s="10">
        <f t="shared" si="50"/>
        <v>4501343.4832626544</v>
      </c>
    </row>
    <row r="149" spans="7:34">
      <c r="G149">
        <v>49</v>
      </c>
      <c r="H149" s="10">
        <f t="shared" si="31"/>
        <v>0</v>
      </c>
      <c r="I149" s="10">
        <f>SUM($H$101:H149)</f>
        <v>180000</v>
      </c>
      <c r="J149" s="10">
        <f t="shared" si="44"/>
        <v>0</v>
      </c>
      <c r="K149" s="10">
        <f t="shared" si="45"/>
        <v>4880443.8996198699</v>
      </c>
      <c r="L149" s="10">
        <f t="shared" si="32"/>
        <v>5314803.4066860378</v>
      </c>
      <c r="M149" s="10">
        <f t="shared" si="33"/>
        <v>73841.116201248544</v>
      </c>
      <c r="N149" s="10">
        <f t="shared" si="46"/>
        <v>5240962.2904847888</v>
      </c>
      <c r="O149" s="7">
        <f t="shared" si="34"/>
        <v>20963.849161939157</v>
      </c>
      <c r="P149" s="10">
        <f t="shared" si="35"/>
        <v>5219998.4413228501</v>
      </c>
      <c r="U149">
        <v>49</v>
      </c>
      <c r="V149" s="10">
        <f t="shared" si="36"/>
        <v>0</v>
      </c>
      <c r="W149" s="10">
        <f t="shared" si="47"/>
        <v>0</v>
      </c>
      <c r="X149" s="10">
        <f t="shared" si="48"/>
        <v>7711364.2565551484</v>
      </c>
      <c r="Y149" s="96">
        <f t="shared" si="37"/>
        <v>154227.28513110298</v>
      </c>
      <c r="Z149" s="96">
        <f t="shared" si="38"/>
        <v>15255.000000000002</v>
      </c>
      <c r="AA149" s="97">
        <f t="shared" si="39"/>
        <v>41045.459755063253</v>
      </c>
      <c r="AB149" s="96">
        <f t="shared" si="40"/>
        <v>8349086.5798900491</v>
      </c>
      <c r="AC149" s="10">
        <f t="shared" si="49"/>
        <v>637722.32333490066</v>
      </c>
      <c r="AD149" s="10">
        <f>SUM($AC$101:AC149)</f>
        <v>8170466.5798900491</v>
      </c>
      <c r="AE149" s="96">
        <f t="shared" si="41"/>
        <v>50094.519479340292</v>
      </c>
      <c r="AF149" s="96">
        <f t="shared" si="42"/>
        <v>0</v>
      </c>
      <c r="AG149" s="97">
        <f t="shared" si="43"/>
        <v>3431595.9635538203</v>
      </c>
      <c r="AH149" s="10">
        <f t="shared" si="50"/>
        <v>4867396.0968568884</v>
      </c>
    </row>
    <row r="150" spans="7:34">
      <c r="G150">
        <v>50</v>
      </c>
      <c r="H150" s="10">
        <f t="shared" si="31"/>
        <v>0</v>
      </c>
      <c r="I150" s="10">
        <f>SUM($H$101:H150)</f>
        <v>180000</v>
      </c>
      <c r="J150" s="10">
        <f t="shared" si="44"/>
        <v>0</v>
      </c>
      <c r="K150" s="10">
        <f t="shared" si="45"/>
        <v>5240962.2904847888</v>
      </c>
      <c r="L150" s="10">
        <f t="shared" si="32"/>
        <v>5707407.9343379345</v>
      </c>
      <c r="M150" s="10">
        <f t="shared" si="33"/>
        <v>79295.759455034771</v>
      </c>
      <c r="N150" s="10">
        <f t="shared" si="46"/>
        <v>5628112.1748829</v>
      </c>
      <c r="O150" s="7">
        <f t="shared" si="34"/>
        <v>22512.4486995316</v>
      </c>
      <c r="P150" s="10">
        <f t="shared" si="35"/>
        <v>5605599.7261833688</v>
      </c>
      <c r="U150">
        <v>50</v>
      </c>
      <c r="V150" s="10">
        <f t="shared" si="36"/>
        <v>0</v>
      </c>
      <c r="W150" s="10">
        <f t="shared" si="47"/>
        <v>0</v>
      </c>
      <c r="X150" s="10">
        <f t="shared" si="48"/>
        <v>8349086.5798900491</v>
      </c>
      <c r="Y150" s="96">
        <f t="shared" si="37"/>
        <v>166981.73159780097</v>
      </c>
      <c r="Z150" s="96">
        <f t="shared" si="38"/>
        <v>15255.000000000002</v>
      </c>
      <c r="AA150" s="97">
        <f t="shared" si="39"/>
        <v>46402.327271076407</v>
      </c>
      <c r="AB150" s="96">
        <f t="shared" si="40"/>
        <v>9038847.0448090769</v>
      </c>
      <c r="AC150" s="10">
        <f t="shared" si="49"/>
        <v>689760.46491902787</v>
      </c>
      <c r="AD150" s="10">
        <f>SUM($AC$101:AC150)</f>
        <v>8860227.0448090769</v>
      </c>
      <c r="AE150" s="96">
        <f t="shared" si="41"/>
        <v>54233.082268854458</v>
      </c>
      <c r="AF150" s="96">
        <f t="shared" si="42"/>
        <v>0</v>
      </c>
      <c r="AG150" s="97">
        <f t="shared" si="43"/>
        <v>3721295.3588198121</v>
      </c>
      <c r="AH150" s="10">
        <f t="shared" si="50"/>
        <v>5263318.6037204098</v>
      </c>
    </row>
    <row r="151" spans="7:34">
      <c r="G151">
        <v>51</v>
      </c>
      <c r="H151" s="10">
        <f t="shared" si="31"/>
        <v>0</v>
      </c>
      <c r="I151" s="10">
        <f>SUM($H$101:H151)</f>
        <v>180000</v>
      </c>
      <c r="J151" s="10">
        <f t="shared" si="44"/>
        <v>0</v>
      </c>
      <c r="K151" s="10">
        <f t="shared" si="45"/>
        <v>5628112.1748829</v>
      </c>
      <c r="L151" s="10">
        <f t="shared" si="32"/>
        <v>6129014.158447478</v>
      </c>
      <c r="M151" s="10">
        <f t="shared" si="33"/>
        <v>85153.337205978271</v>
      </c>
      <c r="N151" s="10">
        <f t="shared" si="46"/>
        <v>6043860.8212414999</v>
      </c>
      <c r="O151" s="7">
        <f t="shared" si="34"/>
        <v>24175.443284966001</v>
      </c>
      <c r="P151" s="10">
        <f t="shared" si="35"/>
        <v>6019685.3779565338</v>
      </c>
      <c r="U151">
        <v>51</v>
      </c>
      <c r="V151" s="10">
        <f t="shared" si="36"/>
        <v>0</v>
      </c>
      <c r="W151" s="10">
        <f t="shared" si="47"/>
        <v>0</v>
      </c>
      <c r="X151" s="10">
        <f t="shared" si="48"/>
        <v>9038847.0448090769</v>
      </c>
      <c r="Y151" s="96">
        <f t="shared" si="37"/>
        <v>180776.94089618154</v>
      </c>
      <c r="Z151" s="96">
        <f t="shared" si="38"/>
        <v>15255.000000000002</v>
      </c>
      <c r="AA151" s="97">
        <f t="shared" si="39"/>
        <v>52196.315176396245</v>
      </c>
      <c r="AB151" s="96">
        <f t="shared" si="40"/>
        <v>9784891.9636654984</v>
      </c>
      <c r="AC151" s="10">
        <f t="shared" si="49"/>
        <v>746044.91885642149</v>
      </c>
      <c r="AD151" s="10">
        <f>SUM($AC$101:AC151)</f>
        <v>9606271.9636654984</v>
      </c>
      <c r="AE151" s="96">
        <f t="shared" si="41"/>
        <v>58709.351781992991</v>
      </c>
      <c r="AF151" s="96">
        <f t="shared" si="42"/>
        <v>0</v>
      </c>
      <c r="AG151" s="97">
        <f t="shared" si="43"/>
        <v>4034634.2247395092</v>
      </c>
      <c r="AH151" s="10">
        <f t="shared" si="50"/>
        <v>5691548.3871439975</v>
      </c>
    </row>
  </sheetData>
  <dataConsolidate topLabels="1">
    <dataRefs count="2">
      <dataRef ref="C27:C76" sheet="DiverseKontoer"/>
      <dataRef ref="F77" sheet="DiverseKontoer"/>
    </dataRefs>
  </dataConsolidate>
  <mergeCells count="43">
    <mergeCell ref="AE99:AH99"/>
    <mergeCell ref="H92:I92"/>
    <mergeCell ref="H97:I97"/>
    <mergeCell ref="H98:I98"/>
    <mergeCell ref="U83:W85"/>
    <mergeCell ref="V86:W86"/>
    <mergeCell ref="V87:W87"/>
    <mergeCell ref="V88:W88"/>
    <mergeCell ref="V89:W89"/>
    <mergeCell ref="V92:W92"/>
    <mergeCell ref="V97:W97"/>
    <mergeCell ref="V98:W98"/>
    <mergeCell ref="G83:I85"/>
    <mergeCell ref="H86:I86"/>
    <mergeCell ref="H87:I87"/>
    <mergeCell ref="H88:I88"/>
    <mergeCell ref="AE26:AH26"/>
    <mergeCell ref="H24:I24"/>
    <mergeCell ref="H13:I13"/>
    <mergeCell ref="H14:I14"/>
    <mergeCell ref="H15:I15"/>
    <mergeCell ref="H16:I16"/>
    <mergeCell ref="H19:I19"/>
    <mergeCell ref="V19:W19"/>
    <mergeCell ref="V24:W24"/>
    <mergeCell ref="V25:W25"/>
    <mergeCell ref="A6:A7"/>
    <mergeCell ref="G10:I12"/>
    <mergeCell ref="B19:C19"/>
    <mergeCell ref="D19:E19"/>
    <mergeCell ref="U10:W12"/>
    <mergeCell ref="V13:W13"/>
    <mergeCell ref="V14:W14"/>
    <mergeCell ref="V15:W15"/>
    <mergeCell ref="V16:W16"/>
    <mergeCell ref="O99:P99"/>
    <mergeCell ref="O26:P26"/>
    <mergeCell ref="B25:C25"/>
    <mergeCell ref="D25:E25"/>
    <mergeCell ref="B26:C26"/>
    <mergeCell ref="D26:E26"/>
    <mergeCell ref="H89:I89"/>
    <mergeCell ref="H25:I2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Niklas Simonsen</dc:creator>
  <cp:keywords/>
  <dc:description/>
  <cp:lastModifiedBy>Niklas Simonsen</cp:lastModifiedBy>
  <cp:revision/>
  <dcterms:created xsi:type="dcterms:W3CDTF">2021-12-10T22:32:11Z</dcterms:created>
  <dcterms:modified xsi:type="dcterms:W3CDTF">2022-06-29T19:28:31Z</dcterms:modified>
  <cp:category/>
  <cp:contentStatus/>
</cp:coreProperties>
</file>