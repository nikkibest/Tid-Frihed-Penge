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f364afe123e12d/Ymisk papírir/Niklas'sPengetips/"/>
    </mc:Choice>
  </mc:AlternateContent>
  <xr:revisionPtr revIDLastSave="106" documentId="8_{E726D26C-F474-4379-AE35-ECD1A8F77F98}" xr6:coauthVersionLast="47" xr6:coauthVersionMax="47" xr10:uidLastSave="{AF4FA890-0656-4309-83DF-462317D4A40B}"/>
  <bookViews>
    <workbookView xWindow="-120" yWindow="-120" windowWidth="29040" windowHeight="15840" xr2:uid="{58DA1548-0EBD-48E4-BFC7-998923818ACA}"/>
  </bookViews>
  <sheets>
    <sheet name="DiverseKontoer" sheetId="1" r:id="rId1"/>
  </sheets>
  <definedNames>
    <definedName name="ASK_Nordnet">DiverseKontoer!$AU$28:INDEX(DiverseKontoer!$AU$28:$AU$78,COUNT(DiverseKontoer!$AU$28:$AU$78))</definedName>
    <definedName name="ASK_Saxo">DiverseKontoer!$AR$28:INDEX(DiverseKontoer!$AR$28:$AR$78,COUNT(DiverseKontoer!$AR$28:$AR$78))</definedName>
    <definedName name="EnkeltAktier_Saxo">DiverseKontoer!$BA$28:INDEX(DiverseKontoer!$BA$28:$BA$78,COUNT(DiverseKontoer!$BA$28:$BA$78))</definedName>
    <definedName name="Indskud">OFFSET(DiverseKontoer!$AO$28,,,COUNTIF(DiverseKontoer!$AO$28:$AO$78,"&lt;&gt;"))</definedName>
    <definedName name="Månedsopsparing">DiverseKontoer!$AX$28:INDEX(DiverseKontoer!$AX$28:$AX$78,COUNT(DiverseKontoer!$AX$28:$AX$78))</definedName>
    <definedName name="Years">OFFSET(DiverseKontoer!$AN$28,,,COUNTIF(DiverseKontoer!$AN$28:$AN$78,"&lt;&gt;"))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0" i="1" l="1"/>
  <c r="A33" i="1"/>
  <c r="V98" i="1"/>
  <c r="V97" i="1"/>
  <c r="V96" i="1"/>
  <c r="V93" i="1"/>
  <c r="V92" i="1"/>
  <c r="H93" i="1"/>
  <c r="H92" i="1"/>
  <c r="W91" i="1"/>
  <c r="V91" i="1"/>
  <c r="W90" i="1"/>
  <c r="V90" i="1"/>
  <c r="V89" i="1"/>
  <c r="V88" i="1"/>
  <c r="V87" i="1"/>
  <c r="W94" i="1" s="1"/>
  <c r="V86" i="1"/>
  <c r="W96" i="1" s="1"/>
  <c r="A31" i="1" l="1"/>
  <c r="I91" i="1"/>
  <c r="H91" i="1"/>
  <c r="I90" i="1"/>
  <c r="H90" i="1"/>
  <c r="H87" i="1"/>
  <c r="H102" i="1" s="1"/>
  <c r="H98" i="1"/>
  <c r="H97" i="1"/>
  <c r="H96" i="1"/>
  <c r="H94" i="1"/>
  <c r="H89" i="1"/>
  <c r="H88" i="1"/>
  <c r="H86" i="1"/>
  <c r="I96" i="1" s="1"/>
  <c r="A29" i="1"/>
  <c r="V25" i="1"/>
  <c r="V24" i="1"/>
  <c r="V23" i="1"/>
  <c r="H25" i="1"/>
  <c r="H24" i="1"/>
  <c r="H23" i="1"/>
  <c r="W18" i="1"/>
  <c r="V18" i="1"/>
  <c r="V14" i="1"/>
  <c r="W21" i="1" s="1"/>
  <c r="V13" i="1"/>
  <c r="W23" i="1" s="1"/>
  <c r="H13" i="1"/>
  <c r="I23" i="1" s="1"/>
  <c r="H14" i="1"/>
  <c r="H29" i="1" s="1"/>
  <c r="I18" i="1"/>
  <c r="I17" i="1"/>
  <c r="H17" i="1"/>
  <c r="H19" i="1"/>
  <c r="H18" i="1"/>
  <c r="H20" i="1"/>
  <c r="AN28" i="1" a="1"/>
  <c r="AN28" i="1" s="1"/>
  <c r="AQ78" i="1"/>
  <c r="AO27" i="1"/>
  <c r="H16" i="1"/>
  <c r="V16" i="1"/>
  <c r="H21" i="1"/>
  <c r="AN27" i="1"/>
  <c r="V15" i="1"/>
  <c r="H15" i="1"/>
  <c r="A32" i="1"/>
  <c r="A30" i="1"/>
  <c r="V21" i="1"/>
  <c r="H101" i="1" l="1"/>
  <c r="J101" i="1" s="1"/>
  <c r="K101" i="1" s="1"/>
  <c r="L101" i="1" s="1"/>
  <c r="H28" i="1"/>
  <c r="I21" i="1"/>
  <c r="J29" i="1" s="1"/>
  <c r="I94" i="1"/>
  <c r="J102" i="1" s="1"/>
  <c r="K102" i="1" l="1"/>
  <c r="J28" i="1"/>
  <c r="K28" i="1" s="1"/>
  <c r="L28" i="1" s="1"/>
  <c r="K29" i="1" s="1"/>
  <c r="M101" i="1"/>
  <c r="N101" i="1" l="1"/>
  <c r="O101" i="1" s="1"/>
  <c r="I101" i="1"/>
  <c r="L102" i="1"/>
  <c r="M28" i="1"/>
  <c r="N28" i="1" l="1"/>
  <c r="O28" i="1" s="1"/>
  <c r="P28" i="1" s="1"/>
  <c r="V28" i="1"/>
  <c r="W28" i="1" s="1"/>
  <c r="X28" i="1" s="1"/>
  <c r="Y28" i="1" s="1"/>
  <c r="AA28" i="1" s="1"/>
  <c r="I28" i="1"/>
  <c r="V101" i="1"/>
  <c r="W101" i="1" s="1"/>
  <c r="X101" i="1" s="1"/>
  <c r="Y101" i="1" s="1"/>
  <c r="P101" i="1"/>
  <c r="M102" i="1"/>
  <c r="I102" i="1" s="1"/>
  <c r="Z28" i="1" l="1"/>
  <c r="AB28" i="1" s="1"/>
  <c r="AE28" i="1" s="1"/>
  <c r="AA101" i="1"/>
  <c r="Z101" i="1"/>
  <c r="AB101" i="1" s="1"/>
  <c r="AE101" i="1" s="1"/>
  <c r="N102" i="1"/>
  <c r="O102" i="1" s="1"/>
  <c r="P102" i="1" s="1"/>
  <c r="AC28" i="1" l="1"/>
  <c r="AD28" i="1" s="1"/>
  <c r="AG28" i="1" s="1"/>
  <c r="AF28" i="1"/>
  <c r="H103" i="1"/>
  <c r="J103" i="1" s="1"/>
  <c r="AC101" i="1"/>
  <c r="K103" i="1" l="1"/>
  <c r="L103" i="1" s="1"/>
  <c r="M103" i="1" s="1"/>
  <c r="I103" i="1" s="1"/>
  <c r="AH28" i="1"/>
  <c r="AD101" i="1"/>
  <c r="AG101" i="1" l="1"/>
  <c r="AF101" i="1"/>
  <c r="N103" i="1"/>
  <c r="O103" i="1" l="1"/>
  <c r="P103" i="1" s="1"/>
  <c r="H104" i="1"/>
  <c r="J104" i="1" l="1"/>
  <c r="K104" i="1" s="1"/>
  <c r="L104" i="1" s="1"/>
  <c r="M104" i="1" l="1"/>
  <c r="I104" i="1" s="1"/>
  <c r="N104" i="1" l="1"/>
  <c r="O104" i="1"/>
  <c r="P104" i="1" s="1"/>
  <c r="H105" i="1"/>
  <c r="J105" i="1" l="1"/>
  <c r="K105" i="1" l="1"/>
  <c r="L105" i="1" s="1"/>
  <c r="M105" i="1" l="1"/>
  <c r="I105" i="1" s="1"/>
  <c r="N105" i="1" l="1"/>
  <c r="H106" i="1" s="1"/>
  <c r="O105" i="1" l="1"/>
  <c r="P105" i="1" s="1"/>
  <c r="J106" i="1"/>
  <c r="K106" i="1" l="1"/>
  <c r="L106" i="1" s="1"/>
  <c r="M106" i="1" l="1"/>
  <c r="I106" i="1" s="1"/>
  <c r="N106" i="1" l="1"/>
  <c r="O106" i="1" s="1"/>
  <c r="H107" i="1" l="1"/>
  <c r="J107" i="1" s="1"/>
  <c r="P106" i="1"/>
  <c r="K107" i="1" l="1"/>
  <c r="L107" i="1" s="1"/>
  <c r="M107" i="1" l="1"/>
  <c r="I107" i="1" s="1"/>
  <c r="N107" i="1" l="1"/>
  <c r="H108" i="1" s="1"/>
  <c r="O107" i="1" l="1"/>
  <c r="P107" i="1" s="1"/>
  <c r="J108" i="1"/>
  <c r="K108" i="1" s="1"/>
  <c r="L108" i="1" s="1"/>
  <c r="M108" i="1" l="1"/>
  <c r="I108" i="1" s="1"/>
  <c r="N108" i="1" l="1"/>
  <c r="O108" i="1" s="1"/>
  <c r="P108" i="1" l="1"/>
  <c r="H109" i="1"/>
  <c r="J109" i="1" s="1"/>
  <c r="K109" i="1" s="1"/>
  <c r="L109" i="1" s="1"/>
  <c r="M109" i="1" l="1"/>
  <c r="I109" i="1" s="1"/>
  <c r="N109" i="1" l="1"/>
  <c r="O109" i="1" s="1"/>
  <c r="P109" i="1" s="1"/>
  <c r="H110" i="1" l="1"/>
  <c r="J110" i="1" s="1"/>
  <c r="K110" i="1" s="1"/>
  <c r="L110" i="1" s="1"/>
  <c r="M110" i="1" l="1"/>
  <c r="I110" i="1" s="1"/>
  <c r="N110" i="1" l="1"/>
  <c r="O110" i="1" s="1"/>
  <c r="P110" i="1" s="1"/>
  <c r="H111" i="1"/>
  <c r="J111" i="1" l="1"/>
  <c r="K111" i="1" s="1"/>
  <c r="L111" i="1" s="1"/>
  <c r="M111" i="1" l="1"/>
  <c r="I111" i="1" s="1"/>
  <c r="N111" i="1"/>
  <c r="O111" i="1" l="1"/>
  <c r="P111" i="1" s="1"/>
  <c r="H112" i="1"/>
  <c r="J112" i="1" l="1"/>
  <c r="K112" i="1" s="1"/>
  <c r="L112" i="1" s="1"/>
  <c r="M112" i="1" l="1"/>
  <c r="I112" i="1" s="1"/>
  <c r="N112" i="1" l="1"/>
  <c r="H113" i="1" s="1"/>
  <c r="O112" i="1" l="1"/>
  <c r="P112" i="1" s="1"/>
  <c r="J113" i="1"/>
  <c r="K113" i="1" s="1"/>
  <c r="L113" i="1" s="1"/>
  <c r="M113" i="1" l="1"/>
  <c r="I113" i="1" s="1"/>
  <c r="N113" i="1" l="1"/>
  <c r="O113" i="1" s="1"/>
  <c r="P113" i="1" l="1"/>
  <c r="H114" i="1"/>
  <c r="J114" i="1" s="1"/>
  <c r="K114" i="1" l="1"/>
  <c r="L114" i="1" s="1"/>
  <c r="M114" i="1" l="1"/>
  <c r="I114" i="1" s="1"/>
  <c r="N114" i="1" l="1"/>
  <c r="H115" i="1" s="1"/>
  <c r="O114" i="1" l="1"/>
  <c r="P114" i="1" s="1"/>
  <c r="J115" i="1"/>
  <c r="K115" i="1" l="1"/>
  <c r="L115" i="1" s="1"/>
  <c r="M115" i="1" l="1"/>
  <c r="I115" i="1" s="1"/>
  <c r="N115" i="1" l="1"/>
  <c r="O115" i="1" s="1"/>
  <c r="P115" i="1" l="1"/>
  <c r="H116" i="1"/>
  <c r="J116" i="1"/>
  <c r="K116" i="1" l="1"/>
  <c r="L116" i="1" s="1"/>
  <c r="M116" i="1" l="1"/>
  <c r="I116" i="1" s="1"/>
  <c r="N116" i="1" l="1"/>
  <c r="H117" i="1" s="1"/>
  <c r="O116" i="1" l="1"/>
  <c r="P116" i="1" s="1"/>
  <c r="J117" i="1"/>
  <c r="K117" i="1" s="1"/>
  <c r="L117" i="1" s="1"/>
  <c r="M117" i="1" l="1"/>
  <c r="I117" i="1" s="1"/>
  <c r="N117" i="1" l="1"/>
  <c r="O117" i="1" s="1"/>
  <c r="P117" i="1" s="1"/>
  <c r="H118" i="1" l="1"/>
  <c r="J118" i="1"/>
  <c r="K118" i="1" s="1"/>
  <c r="L118" i="1" s="1"/>
  <c r="M118" i="1" l="1"/>
  <c r="I118" i="1" s="1"/>
  <c r="N118" i="1" l="1"/>
  <c r="H119" i="1" s="1"/>
  <c r="O118" i="1" l="1"/>
  <c r="P118" i="1" s="1"/>
  <c r="J119" i="1"/>
  <c r="K119" i="1" l="1"/>
  <c r="L119" i="1" s="1"/>
  <c r="M119" i="1" l="1"/>
  <c r="I119" i="1" s="1"/>
  <c r="N119" i="1" l="1"/>
  <c r="O119" i="1" s="1"/>
  <c r="P119" i="1" s="1"/>
  <c r="H120" i="1" l="1"/>
  <c r="J120" i="1"/>
  <c r="K120" i="1" s="1"/>
  <c r="L120" i="1" s="1"/>
  <c r="M120" i="1" l="1"/>
  <c r="I120" i="1" s="1"/>
  <c r="N120" i="1" l="1"/>
  <c r="O120" i="1" s="1"/>
  <c r="P120" i="1" s="1"/>
  <c r="H121" i="1" l="1"/>
  <c r="J121" i="1"/>
  <c r="K121" i="1" l="1"/>
  <c r="L121" i="1" s="1"/>
  <c r="M121" i="1" l="1"/>
  <c r="I121" i="1" s="1"/>
  <c r="N121" i="1" l="1"/>
  <c r="O121" i="1" s="1"/>
  <c r="H122" i="1" l="1"/>
  <c r="J122" i="1" s="1"/>
  <c r="K122" i="1" s="1"/>
  <c r="L122" i="1" s="1"/>
  <c r="P121" i="1"/>
  <c r="M122" i="1" l="1"/>
  <c r="I122" i="1" s="1"/>
  <c r="N122" i="1" l="1"/>
  <c r="O122" i="1" s="1"/>
  <c r="P122" i="1" s="1"/>
  <c r="H123" i="1" l="1"/>
  <c r="J123" i="1"/>
  <c r="K123" i="1" s="1"/>
  <c r="L123" i="1" s="1"/>
  <c r="M123" i="1" l="1"/>
  <c r="I123" i="1" s="1"/>
  <c r="N123" i="1" l="1"/>
  <c r="O123" i="1" s="1"/>
  <c r="P123" i="1" s="1"/>
  <c r="H124" i="1" l="1"/>
  <c r="J124" i="1" s="1"/>
  <c r="K124" i="1" s="1"/>
  <c r="L124" i="1" s="1"/>
  <c r="M124" i="1" l="1"/>
  <c r="I124" i="1" s="1"/>
  <c r="N124" i="1"/>
  <c r="O124" i="1" l="1"/>
  <c r="P124" i="1" s="1"/>
  <c r="H125" i="1"/>
  <c r="J125" i="1" l="1"/>
  <c r="K125" i="1" s="1"/>
  <c r="L125" i="1" s="1"/>
  <c r="M125" i="1" l="1"/>
  <c r="I125" i="1" s="1"/>
  <c r="N125" i="1"/>
  <c r="O125" i="1" l="1"/>
  <c r="P125" i="1" s="1"/>
  <c r="H126" i="1"/>
  <c r="J126" i="1" l="1"/>
  <c r="K126" i="1" l="1"/>
  <c r="L126" i="1" s="1"/>
  <c r="M126" i="1" l="1"/>
  <c r="I126" i="1" s="1"/>
  <c r="N126" i="1" l="1"/>
  <c r="O126" i="1" s="1"/>
  <c r="P126" i="1" s="1"/>
  <c r="H127" i="1" l="1"/>
  <c r="J127" i="1" s="1"/>
  <c r="K127" i="1" l="1"/>
  <c r="L127" i="1" s="1"/>
  <c r="M127" i="1" l="1"/>
  <c r="I127" i="1" s="1"/>
  <c r="N127" i="1" l="1"/>
  <c r="O127" i="1" s="1"/>
  <c r="P127" i="1" s="1"/>
  <c r="H128" i="1" l="1"/>
  <c r="J128" i="1" s="1"/>
  <c r="K128" i="1" s="1"/>
  <c r="L128" i="1" s="1"/>
  <c r="M128" i="1" l="1"/>
  <c r="I128" i="1" s="1"/>
  <c r="N128" i="1" l="1"/>
  <c r="O128" i="1" s="1"/>
  <c r="P128" i="1" s="1"/>
  <c r="H129" i="1" l="1"/>
  <c r="J129" i="1" s="1"/>
  <c r="K129" i="1" l="1"/>
  <c r="L129" i="1" s="1"/>
  <c r="M129" i="1" l="1"/>
  <c r="I129" i="1" s="1"/>
  <c r="N129" i="1" l="1"/>
  <c r="O129" i="1"/>
  <c r="P129" i="1" s="1"/>
  <c r="H130" i="1"/>
  <c r="J130" i="1" l="1"/>
  <c r="K130" i="1" l="1"/>
  <c r="L130" i="1" s="1"/>
  <c r="AZ78" i="1"/>
  <c r="M130" i="1" l="1"/>
  <c r="I130" i="1" s="1"/>
  <c r="N130" i="1" l="1"/>
  <c r="O130" i="1" s="1"/>
  <c r="P130" i="1" s="1"/>
  <c r="AW78" i="1"/>
  <c r="H131" i="1" l="1"/>
  <c r="J131" i="1"/>
  <c r="K131" i="1" l="1"/>
  <c r="L131" i="1" s="1"/>
  <c r="M131" i="1" l="1"/>
  <c r="I131" i="1" s="1"/>
  <c r="N131" i="1" l="1"/>
  <c r="O131" i="1" s="1"/>
  <c r="P131" i="1" s="1"/>
  <c r="H132" i="1" l="1"/>
  <c r="J132" i="1" s="1"/>
  <c r="K132" i="1" l="1"/>
  <c r="L132" i="1" s="1"/>
  <c r="M132" i="1" l="1"/>
  <c r="I132" i="1" s="1"/>
  <c r="N132" i="1" l="1"/>
  <c r="O132" i="1" s="1"/>
  <c r="P132" i="1" s="1"/>
  <c r="H133" i="1" l="1"/>
  <c r="J133" i="1"/>
  <c r="K133" i="1" s="1"/>
  <c r="L133" i="1" s="1"/>
  <c r="M133" i="1" l="1"/>
  <c r="I133" i="1" s="1"/>
  <c r="N133" i="1" l="1"/>
  <c r="O133" i="1" s="1"/>
  <c r="P133" i="1" s="1"/>
  <c r="H134" i="1" l="1"/>
  <c r="J134" i="1" s="1"/>
  <c r="K134" i="1" l="1"/>
  <c r="L134" i="1" s="1"/>
  <c r="M134" i="1" l="1"/>
  <c r="I134" i="1" s="1"/>
  <c r="N134" i="1" l="1"/>
  <c r="O134" i="1" s="1"/>
  <c r="H135" i="1" l="1"/>
  <c r="J135" i="1" s="1"/>
  <c r="K135" i="1" s="1"/>
  <c r="L135" i="1" s="1"/>
  <c r="P134" i="1"/>
  <c r="M135" i="1" l="1"/>
  <c r="I135" i="1" s="1"/>
  <c r="N135" i="1" l="1"/>
  <c r="O135" i="1"/>
  <c r="P135" i="1" s="1"/>
  <c r="H136" i="1"/>
  <c r="J136" i="1" l="1"/>
  <c r="K136" i="1" s="1"/>
  <c r="L136" i="1" s="1"/>
  <c r="M136" i="1" l="1"/>
  <c r="I136" i="1" s="1"/>
  <c r="N136" i="1" l="1"/>
  <c r="O136" i="1"/>
  <c r="H137" i="1"/>
  <c r="P136" i="1"/>
  <c r="J137" i="1" l="1"/>
  <c r="K137" i="1" l="1"/>
  <c r="L137" i="1" s="1"/>
  <c r="M137" i="1" l="1"/>
  <c r="I137" i="1" s="1"/>
  <c r="N137" i="1"/>
  <c r="O137" i="1" l="1"/>
  <c r="P137" i="1" s="1"/>
  <c r="H138" i="1"/>
  <c r="J138" i="1" l="1"/>
  <c r="K138" i="1" l="1"/>
  <c r="L138" i="1" s="1"/>
  <c r="M138" i="1" l="1"/>
  <c r="I138" i="1" s="1"/>
  <c r="N138" i="1" l="1"/>
  <c r="O138" i="1" s="1"/>
  <c r="P138" i="1" l="1"/>
  <c r="H139" i="1"/>
  <c r="J139" i="1" s="1"/>
  <c r="K139" i="1" s="1"/>
  <c r="L139" i="1" s="1"/>
  <c r="M139" i="1" l="1"/>
  <c r="I139" i="1" s="1"/>
  <c r="N139" i="1" l="1"/>
  <c r="O139" i="1" s="1"/>
  <c r="P139" i="1" l="1"/>
  <c r="H140" i="1"/>
  <c r="J140" i="1" s="1"/>
  <c r="K140" i="1" s="1"/>
  <c r="L140" i="1" s="1"/>
  <c r="M140" i="1" l="1"/>
  <c r="I140" i="1" s="1"/>
  <c r="N140" i="1" l="1"/>
  <c r="O140" i="1"/>
  <c r="P140" i="1" s="1"/>
  <c r="H141" i="1"/>
  <c r="J141" i="1" l="1"/>
  <c r="K141" i="1" s="1"/>
  <c r="L141" i="1" s="1"/>
  <c r="M141" i="1" l="1"/>
  <c r="I141" i="1" s="1"/>
  <c r="N141" i="1" l="1"/>
  <c r="O141" i="1" s="1"/>
  <c r="P141" i="1" l="1"/>
  <c r="H142" i="1"/>
  <c r="J142" i="1" s="1"/>
  <c r="K142" i="1" s="1"/>
  <c r="L142" i="1" s="1"/>
  <c r="M142" i="1" l="1"/>
  <c r="I142" i="1" s="1"/>
  <c r="N142" i="1" l="1"/>
  <c r="O142" i="1" s="1"/>
  <c r="H143" i="1" l="1"/>
  <c r="J143" i="1" s="1"/>
  <c r="K143" i="1" s="1"/>
  <c r="L143" i="1" s="1"/>
  <c r="P142" i="1"/>
  <c r="M143" i="1" l="1"/>
  <c r="I143" i="1" s="1"/>
  <c r="N143" i="1" l="1"/>
  <c r="O143" i="1" s="1"/>
  <c r="H144" i="1" l="1"/>
  <c r="J144" i="1" s="1"/>
  <c r="K144" i="1" s="1"/>
  <c r="L144" i="1" s="1"/>
  <c r="P143" i="1"/>
  <c r="M144" i="1" l="1"/>
  <c r="I144" i="1" s="1"/>
  <c r="N144" i="1" l="1"/>
  <c r="O144" i="1" s="1"/>
  <c r="H145" i="1" l="1"/>
  <c r="P144" i="1"/>
  <c r="J145" i="1" l="1"/>
  <c r="K145" i="1" s="1"/>
  <c r="L145" i="1" s="1"/>
  <c r="M145" i="1" s="1"/>
  <c r="I145" i="1" s="1"/>
  <c r="N145" i="1" l="1"/>
  <c r="O145" i="1" s="1"/>
  <c r="P145" i="1" s="1"/>
  <c r="H146" i="1" l="1"/>
  <c r="J146" i="1" s="1"/>
  <c r="K146" i="1" l="1"/>
  <c r="L146" i="1" s="1"/>
  <c r="L29" i="1"/>
  <c r="M29" i="1" l="1"/>
  <c r="V29" i="1" s="1"/>
  <c r="M146" i="1"/>
  <c r="I146" i="1" s="1"/>
  <c r="N146" i="1" l="1"/>
  <c r="N29" i="1"/>
  <c r="I29" i="1"/>
  <c r="W29" i="1"/>
  <c r="X29" i="1" s="1"/>
  <c r="V102" i="1"/>
  <c r="W102" i="1" s="1"/>
  <c r="X102" i="1" s="1"/>
  <c r="Y102" i="1" s="1"/>
  <c r="O146" i="1"/>
  <c r="P146" i="1" s="1"/>
  <c r="H147" i="1"/>
  <c r="Z102" i="1" l="1"/>
  <c r="AA102" i="1"/>
  <c r="AB102" i="1" s="1"/>
  <c r="Y29" i="1"/>
  <c r="O29" i="1"/>
  <c r="P29" i="1" s="1"/>
  <c r="J147" i="1"/>
  <c r="AA29" i="1" l="1"/>
  <c r="Z29" i="1"/>
  <c r="AC102" i="1"/>
  <c r="AE102" i="1"/>
  <c r="J30" i="1"/>
  <c r="K30" i="1" s="1"/>
  <c r="L30" i="1" s="1"/>
  <c r="K147" i="1"/>
  <c r="L147" i="1" s="1"/>
  <c r="AB29" i="1" l="1"/>
  <c r="AC29" i="1" s="1"/>
  <c r="AD29" i="1" s="1"/>
  <c r="AD102" i="1"/>
  <c r="M30" i="1"/>
  <c r="M147" i="1"/>
  <c r="I147" i="1" s="1"/>
  <c r="AE29" i="1" l="1"/>
  <c r="AG102" i="1"/>
  <c r="AF102" i="1"/>
  <c r="AG29" i="1"/>
  <c r="AF29" i="1"/>
  <c r="AH29" i="1" s="1"/>
  <c r="N147" i="1"/>
  <c r="H148" i="1" s="1"/>
  <c r="N30" i="1"/>
  <c r="V103" i="1"/>
  <c r="W103" i="1" s="1"/>
  <c r="X103" i="1" s="1"/>
  <c r="Y103" i="1" s="1"/>
  <c r="V30" i="1"/>
  <c r="W30" i="1" s="1"/>
  <c r="X30" i="1" s="1"/>
  <c r="I30" i="1"/>
  <c r="O147" i="1" l="1"/>
  <c r="P147" i="1" s="1"/>
  <c r="Z103" i="1"/>
  <c r="AA103" i="1"/>
  <c r="AB103" i="1" s="1"/>
  <c r="H31" i="1"/>
  <c r="O30" i="1"/>
  <c r="P30" i="1" s="1"/>
  <c r="Y30" i="1"/>
  <c r="J148" i="1"/>
  <c r="K148" i="1" s="1"/>
  <c r="L148" i="1" s="1"/>
  <c r="J31" i="1" l="1"/>
  <c r="AC103" i="1"/>
  <c r="AE103" i="1"/>
  <c r="AA30" i="1"/>
  <c r="Z30" i="1"/>
  <c r="M148" i="1"/>
  <c r="I148" i="1" s="1"/>
  <c r="N148" i="1" l="1"/>
  <c r="AD103" i="1"/>
  <c r="AB30" i="1"/>
  <c r="K31" i="1"/>
  <c r="L31" i="1" s="1"/>
  <c r="M31" i="1" s="1"/>
  <c r="O148" i="1"/>
  <c r="P148" i="1" s="1"/>
  <c r="H149" i="1"/>
  <c r="AF103" i="1" l="1"/>
  <c r="AG103" i="1"/>
  <c r="N31" i="1"/>
  <c r="V104" i="1"/>
  <c r="W104" i="1" s="1"/>
  <c r="X104" i="1" s="1"/>
  <c r="V31" i="1"/>
  <c r="W31" i="1" s="1"/>
  <c r="X31" i="1" s="1"/>
  <c r="I31" i="1"/>
  <c r="AC30" i="1"/>
  <c r="AE30" i="1"/>
  <c r="J149" i="1"/>
  <c r="K149" i="1" s="1"/>
  <c r="L149" i="1" s="1"/>
  <c r="Y31" i="1" l="1"/>
  <c r="Y104" i="1"/>
  <c r="AD30" i="1"/>
  <c r="O31" i="1"/>
  <c r="P31" i="1" s="1"/>
  <c r="H32" i="1"/>
  <c r="M149" i="1"/>
  <c r="I149" i="1" s="1"/>
  <c r="AF30" i="1" l="1"/>
  <c r="AG30" i="1"/>
  <c r="N149" i="1"/>
  <c r="O149" i="1" s="1"/>
  <c r="P149" i="1" s="1"/>
  <c r="Z104" i="1"/>
  <c r="AA104" i="1"/>
  <c r="J32" i="1"/>
  <c r="K32" i="1" s="1"/>
  <c r="L32" i="1" s="1"/>
  <c r="M32" i="1" s="1"/>
  <c r="I32" i="1" s="1"/>
  <c r="Z31" i="1"/>
  <c r="AA31" i="1"/>
  <c r="AS28" i="1" a="1"/>
  <c r="AB31" i="1" l="1"/>
  <c r="H150" i="1"/>
  <c r="J150" i="1" s="1"/>
  <c r="K150" i="1" s="1"/>
  <c r="L150" i="1" s="1"/>
  <c r="V32" i="1"/>
  <c r="W32" i="1" s="1"/>
  <c r="X32" i="1" s="1"/>
  <c r="N32" i="1"/>
  <c r="V105" i="1"/>
  <c r="W105" i="1" s="1"/>
  <c r="AC31" i="1"/>
  <c r="AE31" i="1"/>
  <c r="AH30" i="1"/>
  <c r="AB104" i="1"/>
  <c r="AT46" i="1"/>
  <c r="AT35" i="1"/>
  <c r="AT71" i="1"/>
  <c r="AT54" i="1"/>
  <c r="AT43" i="1"/>
  <c r="AT38" i="1"/>
  <c r="AT44" i="1"/>
  <c r="AT50" i="1"/>
  <c r="AS28" i="1"/>
  <c r="AT28" i="1" s="1"/>
  <c r="AT34" i="1"/>
  <c r="AT75" i="1"/>
  <c r="AT52" i="1"/>
  <c r="AT41" i="1"/>
  <c r="AT60" i="1"/>
  <c r="AT49" i="1"/>
  <c r="AT56" i="1"/>
  <c r="AT62" i="1"/>
  <c r="AT68" i="1"/>
  <c r="AT69" i="1"/>
  <c r="AT59" i="1"/>
  <c r="AT58" i="1"/>
  <c r="AT66" i="1"/>
  <c r="AT55" i="1"/>
  <c r="AT74" i="1"/>
  <c r="AT51" i="1"/>
  <c r="AT33" i="1"/>
  <c r="AT45" i="1"/>
  <c r="AT64" i="1"/>
  <c r="AT53" i="1"/>
  <c r="AT36" i="1"/>
  <c r="AT72" i="1"/>
  <c r="AT61" i="1"/>
  <c r="AT39" i="1"/>
  <c r="AT70" i="1"/>
  <c r="AT63" i="1"/>
  <c r="AT40" i="1"/>
  <c r="AT76" i="1"/>
  <c r="AT65" i="1"/>
  <c r="AT48" i="1"/>
  <c r="AT73" i="1"/>
  <c r="AD31" i="1" l="1"/>
  <c r="Y32" i="1"/>
  <c r="AC104" i="1"/>
  <c r="X105" i="1"/>
  <c r="Y105" i="1" s="1"/>
  <c r="AE104" i="1"/>
  <c r="H33" i="1"/>
  <c r="O32" i="1"/>
  <c r="P32" i="1" s="1"/>
  <c r="M150" i="1"/>
  <c r="I150" i="1" s="1"/>
  <c r="AG31" i="1" l="1"/>
  <c r="AF31" i="1"/>
  <c r="N150" i="1"/>
  <c r="O150" i="1" s="1"/>
  <c r="P150" i="1" s="1"/>
  <c r="B31" i="1" s="1" a="1"/>
  <c r="B31" i="1" s="1"/>
  <c r="Z32" i="1"/>
  <c r="AA32" i="1"/>
  <c r="J33" i="1"/>
  <c r="K33" i="1" s="1"/>
  <c r="L33" i="1" s="1"/>
  <c r="M33" i="1" s="1"/>
  <c r="V33" i="1" s="1"/>
  <c r="W33" i="1" s="1"/>
  <c r="AD104" i="1"/>
  <c r="Z105" i="1"/>
  <c r="AA105" i="1"/>
  <c r="AB105" i="1" s="1"/>
  <c r="AT30" i="1" l="1"/>
  <c r="AT31" i="1"/>
  <c r="AT67" i="1"/>
  <c r="AT57" i="1"/>
  <c r="AF104" i="1"/>
  <c r="AG104" i="1"/>
  <c r="H151" i="1"/>
  <c r="AT42" i="1"/>
  <c r="AT47" i="1"/>
  <c r="N33" i="1"/>
  <c r="V106" i="1"/>
  <c r="W106" i="1" s="1"/>
  <c r="X106" i="1" s="1"/>
  <c r="AC105" i="1"/>
  <c r="AD105" i="1" s="1"/>
  <c r="AE105" i="1"/>
  <c r="I33" i="1"/>
  <c r="AH31" i="1"/>
  <c r="AB32" i="1"/>
  <c r="AT32" i="1"/>
  <c r="AT29" i="1"/>
  <c r="AT77" i="1"/>
  <c r="AT37" i="1"/>
  <c r="J151" i="1"/>
  <c r="AF105" i="1" l="1"/>
  <c r="AG105" i="1"/>
  <c r="AU54" i="1" a="1"/>
  <c r="AU54" i="1" s="1"/>
  <c r="Y106" i="1"/>
  <c r="AE32" i="1"/>
  <c r="X33" i="1"/>
  <c r="AC32" i="1"/>
  <c r="H34" i="1"/>
  <c r="O33" i="1"/>
  <c r="P33" i="1" s="1"/>
  <c r="AU32" i="1" a="1"/>
  <c r="AU32" i="1" s="1"/>
  <c r="AU67" i="1" a="1"/>
  <c r="AU67" i="1" s="1"/>
  <c r="AU62" i="1" a="1"/>
  <c r="AU62" i="1" s="1"/>
  <c r="AU59" i="1" a="1"/>
  <c r="AU59" i="1" s="1"/>
  <c r="AU72" i="1" a="1"/>
  <c r="AU72" i="1" s="1"/>
  <c r="AU69" i="1" a="1"/>
  <c r="AU69" i="1" s="1"/>
  <c r="AU58" i="1" a="1"/>
  <c r="AU58" i="1" s="1"/>
  <c r="AU71" i="1" a="1"/>
  <c r="AU71" i="1" s="1"/>
  <c r="AU39" i="1" a="1"/>
  <c r="AU39" i="1" s="1"/>
  <c r="AU29" i="1" a="1"/>
  <c r="AU29" i="1" s="1"/>
  <c r="AU65" i="1" a="1"/>
  <c r="AU65" i="1" s="1"/>
  <c r="AU49" i="1" a="1"/>
  <c r="AU49" i="1" s="1"/>
  <c r="AU42" i="1" a="1"/>
  <c r="AU42" i="1" s="1"/>
  <c r="AU38" i="1" a="1"/>
  <c r="AU38" i="1" s="1"/>
  <c r="AU44" i="1" a="1"/>
  <c r="AU44" i="1" s="1"/>
  <c r="AU61" i="1" a="1"/>
  <c r="AU61" i="1" s="1"/>
  <c r="AU41" i="1" a="1"/>
  <c r="AU41" i="1" s="1"/>
  <c r="AU28" i="1" a="1"/>
  <c r="AU28" i="1" s="1"/>
  <c r="AU68" i="1" a="1"/>
  <c r="AU68" i="1" s="1"/>
  <c r="AU47" i="1" a="1"/>
  <c r="AU47" i="1" s="1"/>
  <c r="AU60" i="1" a="1"/>
  <c r="AU60" i="1" s="1"/>
  <c r="AU31" i="1" a="1"/>
  <c r="AU31" i="1" s="1"/>
  <c r="AU74" i="1" a="1"/>
  <c r="AU74" i="1" s="1"/>
  <c r="AU66" i="1" a="1"/>
  <c r="AU66" i="1" s="1"/>
  <c r="AU30" i="1" a="1"/>
  <c r="AU30" i="1" s="1"/>
  <c r="AU33" i="1" a="1"/>
  <c r="AU33" i="1" s="1"/>
  <c r="AU64" i="1" a="1"/>
  <c r="AU64" i="1" s="1"/>
  <c r="AU73" i="1" a="1"/>
  <c r="AU73" i="1" s="1"/>
  <c r="AU50" i="1" a="1"/>
  <c r="AU50" i="1" s="1"/>
  <c r="AU52" i="1" a="1"/>
  <c r="AU52" i="1" s="1"/>
  <c r="AU46" i="1" a="1"/>
  <c r="AU46" i="1" s="1"/>
  <c r="AU57" i="1" a="1"/>
  <c r="AU57" i="1" s="1"/>
  <c r="AU53" i="1" a="1"/>
  <c r="AU53" i="1" s="1"/>
  <c r="AU36" i="1" a="1"/>
  <c r="AU36" i="1" s="1"/>
  <c r="AU55" i="1" a="1"/>
  <c r="AU55" i="1" s="1"/>
  <c r="AU45" i="1" a="1"/>
  <c r="AU45" i="1" s="1"/>
  <c r="AU37" i="1" a="1"/>
  <c r="AU37" i="1" s="1"/>
  <c r="AU70" i="1" a="1"/>
  <c r="AU70" i="1" s="1"/>
  <c r="AU43" i="1" a="1"/>
  <c r="AU43" i="1" s="1"/>
  <c r="AU56" i="1" a="1"/>
  <c r="AU56" i="1" s="1"/>
  <c r="AU76" i="1" a="1"/>
  <c r="AU76" i="1" s="1"/>
  <c r="AU34" i="1" a="1"/>
  <c r="AU34" i="1" s="1"/>
  <c r="AU35" i="1" a="1"/>
  <c r="AU35" i="1" s="1"/>
  <c r="AU63" i="1" a="1"/>
  <c r="AU63" i="1" s="1"/>
  <c r="AU48" i="1" a="1"/>
  <c r="AU48" i="1" s="1"/>
  <c r="AU77" i="1" a="1"/>
  <c r="AU77" i="1" s="1"/>
  <c r="AU75" i="1" a="1"/>
  <c r="AU75" i="1" s="1"/>
  <c r="AU51" i="1" a="1"/>
  <c r="AU51" i="1" s="1"/>
  <c r="AU40" i="1" a="1"/>
  <c r="AU40" i="1" s="1"/>
  <c r="K151" i="1"/>
  <c r="L151" i="1" s="1"/>
  <c r="AD32" i="1" l="1"/>
  <c r="Y33" i="1"/>
  <c r="J34" i="1"/>
  <c r="K34" i="1" s="1"/>
  <c r="L34" i="1" s="1"/>
  <c r="M34" i="1" s="1"/>
  <c r="Z106" i="1"/>
  <c r="AA106" i="1"/>
  <c r="M151" i="1"/>
  <c r="I151" i="1" s="1"/>
  <c r="AG32" i="1" l="1"/>
  <c r="AF32" i="1"/>
  <c r="Z33" i="1"/>
  <c r="AA33" i="1"/>
  <c r="N34" i="1"/>
  <c r="V107" i="1"/>
  <c r="W107" i="1" s="1"/>
  <c r="V34" i="1"/>
  <c r="W34" i="1" s="1"/>
  <c r="AB106" i="1"/>
  <c r="N151" i="1"/>
  <c r="O151" i="1" s="1"/>
  <c r="I34" i="1"/>
  <c r="X107" i="1" l="1"/>
  <c r="Y107" i="1"/>
  <c r="AH32" i="1"/>
  <c r="H35" i="1"/>
  <c r="O34" i="1"/>
  <c r="P34" i="1" s="1"/>
  <c r="AE106" i="1"/>
  <c r="AC106" i="1"/>
  <c r="AD106" i="1" s="1"/>
  <c r="P151" i="1"/>
  <c r="AB33" i="1"/>
  <c r="AG106" i="1" l="1"/>
  <c r="AF106" i="1"/>
  <c r="AE33" i="1"/>
  <c r="X34" i="1"/>
  <c r="AC33" i="1"/>
  <c r="J35" i="1"/>
  <c r="K35" i="1" s="1"/>
  <c r="L35" i="1" s="1"/>
  <c r="AA107" i="1"/>
  <c r="Z107" i="1"/>
  <c r="AB107" i="1" s="1"/>
  <c r="AD33" i="1" l="1"/>
  <c r="Y34" i="1"/>
  <c r="AE107" i="1"/>
  <c r="AC107" i="1"/>
  <c r="AD107" i="1" s="1"/>
  <c r="M35" i="1"/>
  <c r="I35" i="1" s="1"/>
  <c r="AF107" i="1" l="1"/>
  <c r="AG107" i="1"/>
  <c r="AG33" i="1"/>
  <c r="AF33" i="1"/>
  <c r="Z34" i="1"/>
  <c r="AA34" i="1"/>
  <c r="N35" i="1"/>
  <c r="V108" i="1"/>
  <c r="W108" i="1" s="1"/>
  <c r="X108" i="1" s="1"/>
  <c r="V35" i="1"/>
  <c r="W35" i="1" s="1"/>
  <c r="AH33" i="1" l="1"/>
  <c r="AB34" i="1"/>
  <c r="Y108" i="1"/>
  <c r="O35" i="1"/>
  <c r="P35" i="1" s="1"/>
  <c r="H36" i="1"/>
  <c r="J36" i="1" l="1"/>
  <c r="K36" i="1" s="1"/>
  <c r="L36" i="1" s="1"/>
  <c r="AA108" i="1"/>
  <c r="Z108" i="1"/>
  <c r="AB108" i="1" s="1"/>
  <c r="AE34" i="1"/>
  <c r="X35" i="1"/>
  <c r="AC34" i="1"/>
  <c r="AD34" i="1" s="1"/>
  <c r="AF34" i="1" l="1"/>
  <c r="AG34" i="1"/>
  <c r="Y35" i="1"/>
  <c r="AE108" i="1"/>
  <c r="AC108" i="1"/>
  <c r="AD108" i="1" s="1"/>
  <c r="M36" i="1"/>
  <c r="AG108" i="1" l="1"/>
  <c r="AF108" i="1"/>
  <c r="Z35" i="1"/>
  <c r="AA35" i="1"/>
  <c r="N36" i="1"/>
  <c r="V109" i="1"/>
  <c r="W109" i="1" s="1"/>
  <c r="X109" i="1" s="1"/>
  <c r="V36" i="1"/>
  <c r="W36" i="1" s="1"/>
  <c r="I36" i="1"/>
  <c r="AH34" i="1"/>
  <c r="AB35" i="1" l="1"/>
  <c r="O36" i="1"/>
  <c r="P36" i="1" s="1"/>
  <c r="H37" i="1"/>
  <c r="Y109" i="1"/>
  <c r="Z109" i="1" l="1"/>
  <c r="AA109" i="1"/>
  <c r="J37" i="1"/>
  <c r="K37" i="1" s="1"/>
  <c r="L37" i="1" s="1"/>
  <c r="AE35" i="1"/>
  <c r="AC35" i="1"/>
  <c r="AD35" i="1" s="1"/>
  <c r="X36" i="1"/>
  <c r="AF35" i="1" l="1"/>
  <c r="AG35" i="1"/>
  <c r="M37" i="1"/>
  <c r="Y36" i="1"/>
  <c r="AB109" i="1"/>
  <c r="AH35" i="1" l="1"/>
  <c r="Z36" i="1"/>
  <c r="AA36" i="1"/>
  <c r="AE109" i="1"/>
  <c r="AC109" i="1"/>
  <c r="AD109" i="1" s="1"/>
  <c r="N37" i="1"/>
  <c r="V110" i="1"/>
  <c r="W110" i="1" s="1"/>
  <c r="X110" i="1" s="1"/>
  <c r="V37" i="1"/>
  <c r="W37" i="1" s="1"/>
  <c r="I37" i="1"/>
  <c r="AF109" i="1" l="1"/>
  <c r="AG109" i="1"/>
  <c r="Y110" i="1"/>
  <c r="H38" i="1"/>
  <c r="O37" i="1"/>
  <c r="P37" i="1" s="1"/>
  <c r="AB36" i="1"/>
  <c r="J38" i="1" l="1"/>
  <c r="K38" i="1" s="1"/>
  <c r="L38" i="1" s="1"/>
  <c r="M38" i="1" s="1"/>
  <c r="V38" i="1" s="1"/>
  <c r="W38" i="1" s="1"/>
  <c r="AC36" i="1"/>
  <c r="AD36" i="1" s="1"/>
  <c r="AE36" i="1"/>
  <c r="X37" i="1"/>
  <c r="Z110" i="1"/>
  <c r="AA110" i="1"/>
  <c r="I38" i="1" l="1"/>
  <c r="AF36" i="1"/>
  <c r="AG36" i="1"/>
  <c r="Y37" i="1"/>
  <c r="AB110" i="1"/>
  <c r="N38" i="1"/>
  <c r="V111" i="1"/>
  <c r="W111" i="1" s="1"/>
  <c r="AH36" i="1" l="1"/>
  <c r="AE110" i="1"/>
  <c r="AC110" i="1"/>
  <c r="AD110" i="1" s="1"/>
  <c r="X111" i="1"/>
  <c r="AA37" i="1"/>
  <c r="Z37" i="1"/>
  <c r="O38" i="1"/>
  <c r="P38" i="1" s="1"/>
  <c r="H39" i="1"/>
  <c r="AG110" i="1" l="1"/>
  <c r="AF110" i="1"/>
  <c r="AB37" i="1"/>
  <c r="AE37" i="1" s="1"/>
  <c r="Y111" i="1"/>
  <c r="J39" i="1"/>
  <c r="K39" i="1" s="1"/>
  <c r="L39" i="1" s="1"/>
  <c r="X38" i="1" l="1"/>
  <c r="AC37" i="1"/>
  <c r="AD37" i="1" s="1"/>
  <c r="M39" i="1"/>
  <c r="Y38" i="1"/>
  <c r="AA111" i="1"/>
  <c r="Z111" i="1"/>
  <c r="AB111" i="1" s="1"/>
  <c r="AF37" i="1" l="1"/>
  <c r="AG37" i="1"/>
  <c r="AH37" i="1" s="1"/>
  <c r="AA38" i="1"/>
  <c r="Z38" i="1"/>
  <c r="N39" i="1"/>
  <c r="V112" i="1"/>
  <c r="W112" i="1" s="1"/>
  <c r="X112" i="1" s="1"/>
  <c r="V39" i="1"/>
  <c r="W39" i="1" s="1"/>
  <c r="I39" i="1"/>
  <c r="AE111" i="1"/>
  <c r="AC111" i="1"/>
  <c r="AD111" i="1" s="1"/>
  <c r="AB38" i="1" l="1"/>
  <c r="AG111" i="1"/>
  <c r="AF111" i="1"/>
  <c r="Y112" i="1"/>
  <c r="H40" i="1"/>
  <c r="O39" i="1"/>
  <c r="P39" i="1" s="1"/>
  <c r="AE38" i="1"/>
  <c r="X39" i="1"/>
  <c r="AC38" i="1"/>
  <c r="AD38" i="1" s="1"/>
  <c r="AF38" i="1" l="1"/>
  <c r="AG38" i="1"/>
  <c r="J40" i="1"/>
  <c r="K40" i="1" s="1"/>
  <c r="L40" i="1" s="1"/>
  <c r="M40" i="1" s="1"/>
  <c r="V40" i="1" s="1"/>
  <c r="W40" i="1" s="1"/>
  <c r="Y39" i="1"/>
  <c r="AA112" i="1"/>
  <c r="Z112" i="1"/>
  <c r="AB112" i="1" s="1"/>
  <c r="AH38" i="1" l="1"/>
  <c r="I40" i="1"/>
  <c r="Z39" i="1"/>
  <c r="AA39" i="1"/>
  <c r="AE112" i="1"/>
  <c r="AC112" i="1"/>
  <c r="AD112" i="1" s="1"/>
  <c r="N40" i="1"/>
  <c r="V113" i="1"/>
  <c r="W113" i="1" s="1"/>
  <c r="X113" i="1" s="1"/>
  <c r="Y113" i="1" s="1"/>
  <c r="AG112" i="1" l="1"/>
  <c r="AF112" i="1"/>
  <c r="AB39" i="1"/>
  <c r="AC39" i="1" s="1"/>
  <c r="AD39" i="1" s="1"/>
  <c r="AA113" i="1"/>
  <c r="Z113" i="1"/>
  <c r="H41" i="1"/>
  <c r="O40" i="1"/>
  <c r="P40" i="1" s="1"/>
  <c r="AG39" i="1" l="1"/>
  <c r="AF39" i="1"/>
  <c r="X40" i="1"/>
  <c r="AE39" i="1"/>
  <c r="AB113" i="1"/>
  <c r="AE113" i="1" s="1"/>
  <c r="Y40" i="1"/>
  <c r="J41" i="1"/>
  <c r="K41" i="1" s="1"/>
  <c r="L41" i="1" s="1"/>
  <c r="AH39" i="1" l="1"/>
  <c r="AC113" i="1"/>
  <c r="AD113" i="1" s="1"/>
  <c r="M41" i="1"/>
  <c r="AA40" i="1"/>
  <c r="Z40" i="1"/>
  <c r="AF113" i="1" l="1"/>
  <c r="AG113" i="1"/>
  <c r="AB40" i="1"/>
  <c r="AC40" i="1" s="1"/>
  <c r="AD40" i="1" s="1"/>
  <c r="N41" i="1"/>
  <c r="V114" i="1"/>
  <c r="W114" i="1" s="1"/>
  <c r="X114" i="1" s="1"/>
  <c r="V41" i="1"/>
  <c r="W41" i="1" s="1"/>
  <c r="I41" i="1"/>
  <c r="AE40" i="1" l="1"/>
  <c r="X41" i="1"/>
  <c r="AG40" i="1"/>
  <c r="AF40" i="1"/>
  <c r="H42" i="1"/>
  <c r="O41" i="1"/>
  <c r="P41" i="1" s="1"/>
  <c r="Y114" i="1"/>
  <c r="Y41" i="1"/>
  <c r="Z41" i="1" l="1"/>
  <c r="AA41" i="1"/>
  <c r="J42" i="1"/>
  <c r="K42" i="1" s="1"/>
  <c r="L42" i="1" s="1"/>
  <c r="Z114" i="1"/>
  <c r="AA114" i="1"/>
  <c r="AH40" i="1"/>
  <c r="AB41" i="1" l="1"/>
  <c r="AE41" i="1" s="1"/>
  <c r="AB114" i="1"/>
  <c r="M42" i="1"/>
  <c r="AC41" i="1" l="1"/>
  <c r="AD41" i="1" s="1"/>
  <c r="AF41" i="1"/>
  <c r="AG41" i="1"/>
  <c r="N42" i="1"/>
  <c r="V115" i="1"/>
  <c r="W115" i="1" s="1"/>
  <c r="X115" i="1" s="1"/>
  <c r="I42" i="1"/>
  <c r="V42" i="1"/>
  <c r="W42" i="1" s="1"/>
  <c r="X42" i="1" s="1"/>
  <c r="AE114" i="1"/>
  <c r="AC114" i="1"/>
  <c r="AD114" i="1" s="1"/>
  <c r="AG114" i="1" l="1"/>
  <c r="AF114" i="1"/>
  <c r="AH41" i="1"/>
  <c r="Y42" i="1"/>
  <c r="Y115" i="1"/>
  <c r="O42" i="1"/>
  <c r="P42" i="1" s="1"/>
  <c r="H43" i="1"/>
  <c r="Z115" i="1" l="1"/>
  <c r="AA115" i="1"/>
  <c r="Z42" i="1"/>
  <c r="AA42" i="1"/>
  <c r="J43" i="1"/>
  <c r="K43" i="1" s="1"/>
  <c r="L43" i="1" s="1"/>
  <c r="AB42" i="1" l="1"/>
  <c r="AE42" i="1" s="1"/>
  <c r="M43" i="1"/>
  <c r="AB115" i="1"/>
  <c r="AC42" i="1" l="1"/>
  <c r="AD42" i="1" s="1"/>
  <c r="N43" i="1"/>
  <c r="V116" i="1"/>
  <c r="W116" i="1" s="1"/>
  <c r="X116" i="1" s="1"/>
  <c r="Y116" i="1" s="1"/>
  <c r="I43" i="1"/>
  <c r="V43" i="1"/>
  <c r="W43" i="1" s="1"/>
  <c r="X43" i="1" s="1"/>
  <c r="AE115" i="1"/>
  <c r="AC115" i="1"/>
  <c r="AD115" i="1" s="1"/>
  <c r="AF115" i="1" l="1"/>
  <c r="AG115" i="1"/>
  <c r="AG42" i="1"/>
  <c r="AF42" i="1"/>
  <c r="AA116" i="1"/>
  <c r="Z116" i="1"/>
  <c r="AB116" i="1" s="1"/>
  <c r="Y43" i="1"/>
  <c r="H44" i="1"/>
  <c r="O43" i="1"/>
  <c r="P43" i="1" s="1"/>
  <c r="AH42" i="1" l="1"/>
  <c r="AA43" i="1"/>
  <c r="Z43" i="1"/>
  <c r="AB43" i="1" s="1"/>
  <c r="AE116" i="1"/>
  <c r="AC116" i="1"/>
  <c r="AD116" i="1" s="1"/>
  <c r="J44" i="1"/>
  <c r="K44" i="1" s="1"/>
  <c r="L44" i="1" s="1"/>
  <c r="M44" i="1" s="1"/>
  <c r="I44" i="1" s="1"/>
  <c r="AF116" i="1" l="1"/>
  <c r="AG116" i="1"/>
  <c r="V44" i="1"/>
  <c r="W44" i="1" s="1"/>
  <c r="X44" i="1" s="1"/>
  <c r="AE43" i="1"/>
  <c r="AC43" i="1"/>
  <c r="AD43" i="1" s="1"/>
  <c r="N44" i="1"/>
  <c r="V117" i="1"/>
  <c r="W117" i="1" s="1"/>
  <c r="X117" i="1" s="1"/>
  <c r="AG43" i="1" l="1"/>
  <c r="AF43" i="1"/>
  <c r="Y44" i="1"/>
  <c r="Y117" i="1"/>
  <c r="O44" i="1"/>
  <c r="P44" i="1" s="1"/>
  <c r="H45" i="1"/>
  <c r="AH43" i="1" l="1"/>
  <c r="Z117" i="1"/>
  <c r="AA117" i="1"/>
  <c r="J45" i="1"/>
  <c r="K45" i="1" s="1"/>
  <c r="L45" i="1" s="1"/>
  <c r="AA44" i="1"/>
  <c r="Z44" i="1"/>
  <c r="AB44" i="1" l="1"/>
  <c r="M45" i="1"/>
  <c r="AE44" i="1"/>
  <c r="AC44" i="1"/>
  <c r="AD44" i="1" s="1"/>
  <c r="AB117" i="1"/>
  <c r="AG44" i="1" l="1"/>
  <c r="AF44" i="1"/>
  <c r="AE117" i="1"/>
  <c r="AC117" i="1"/>
  <c r="AD117" i="1" s="1"/>
  <c r="N45" i="1"/>
  <c r="V118" i="1"/>
  <c r="W118" i="1" s="1"/>
  <c r="X118" i="1" s="1"/>
  <c r="V45" i="1"/>
  <c r="W45" i="1" s="1"/>
  <c r="X45" i="1" s="1"/>
  <c r="I45" i="1"/>
  <c r="AF117" i="1" l="1"/>
  <c r="AG117" i="1"/>
  <c r="O45" i="1"/>
  <c r="P45" i="1" s="1"/>
  <c r="H46" i="1"/>
  <c r="Y45" i="1"/>
  <c r="Y118" i="1"/>
  <c r="AH44" i="1"/>
  <c r="Z45" i="1" l="1"/>
  <c r="AA45" i="1"/>
  <c r="J46" i="1"/>
  <c r="K46" i="1" s="1"/>
  <c r="L46" i="1" s="1"/>
  <c r="Z118" i="1"/>
  <c r="AA118" i="1"/>
  <c r="AB118" i="1" l="1"/>
  <c r="M46" i="1"/>
  <c r="AB45" i="1"/>
  <c r="N46" i="1" l="1"/>
  <c r="V119" i="1"/>
  <c r="W119" i="1" s="1"/>
  <c r="I46" i="1"/>
  <c r="V46" i="1"/>
  <c r="W46" i="1" s="1"/>
  <c r="X46" i="1" s="1"/>
  <c r="AE45" i="1"/>
  <c r="AC45" i="1"/>
  <c r="AD45" i="1" s="1"/>
  <c r="AE118" i="1"/>
  <c r="AC118" i="1"/>
  <c r="AD118" i="1" s="1"/>
  <c r="X119" i="1"/>
  <c r="Y119" i="1" s="1"/>
  <c r="AG118" i="1" l="1"/>
  <c r="AF118" i="1"/>
  <c r="AF45" i="1"/>
  <c r="AG45" i="1"/>
  <c r="Y46" i="1"/>
  <c r="AA119" i="1"/>
  <c r="Z119" i="1"/>
  <c r="O46" i="1"/>
  <c r="P46" i="1" s="1"/>
  <c r="H47" i="1"/>
  <c r="AB119" i="1" l="1"/>
  <c r="AH45" i="1"/>
  <c r="Z46" i="1"/>
  <c r="AA46" i="1"/>
  <c r="AE119" i="1"/>
  <c r="AC119" i="1"/>
  <c r="AD119" i="1" s="1"/>
  <c r="J47" i="1"/>
  <c r="K47" i="1" s="1"/>
  <c r="L47" i="1" s="1"/>
  <c r="AF119" i="1" l="1"/>
  <c r="AG119" i="1"/>
  <c r="M47" i="1"/>
  <c r="AB46" i="1"/>
  <c r="AE46" i="1" l="1"/>
  <c r="AC46" i="1"/>
  <c r="AD46" i="1" s="1"/>
  <c r="N47" i="1"/>
  <c r="V120" i="1"/>
  <c r="W120" i="1" s="1"/>
  <c r="X120" i="1" s="1"/>
  <c r="I47" i="1"/>
  <c r="V47" i="1"/>
  <c r="W47" i="1" s="1"/>
  <c r="X47" i="1" s="1"/>
  <c r="AG46" i="1" l="1"/>
  <c r="AF46" i="1"/>
  <c r="Y47" i="1"/>
  <c r="Y120" i="1"/>
  <c r="O47" i="1"/>
  <c r="P47" i="1" s="1"/>
  <c r="H48" i="1"/>
  <c r="Z120" i="1" l="1"/>
  <c r="AA120" i="1"/>
  <c r="J48" i="1"/>
  <c r="K48" i="1" s="1"/>
  <c r="L48" i="1" s="1"/>
  <c r="AH46" i="1"/>
  <c r="AA47" i="1"/>
  <c r="Z47" i="1"/>
  <c r="AB47" i="1" s="1"/>
  <c r="AE47" i="1" l="1"/>
  <c r="AC47" i="1"/>
  <c r="AD47" i="1" s="1"/>
  <c r="M48" i="1"/>
  <c r="AB120" i="1"/>
  <c r="AF47" i="1" l="1"/>
  <c r="AG47" i="1"/>
  <c r="AE120" i="1"/>
  <c r="AC120" i="1"/>
  <c r="AD120" i="1" s="1"/>
  <c r="N48" i="1"/>
  <c r="V121" i="1"/>
  <c r="W121" i="1" s="1"/>
  <c r="X121" i="1" s="1"/>
  <c r="Y121" i="1" s="1"/>
  <c r="I48" i="1"/>
  <c r="V48" i="1"/>
  <c r="W48" i="1" s="1"/>
  <c r="X48" i="1" s="1"/>
  <c r="AH47" i="1" l="1"/>
  <c r="AG120" i="1"/>
  <c r="AF120" i="1"/>
  <c r="AA121" i="1"/>
  <c r="Z121" i="1"/>
  <c r="O48" i="1"/>
  <c r="P48" i="1" s="1"/>
  <c r="H49" i="1"/>
  <c r="Y48" i="1"/>
  <c r="AB121" i="1" l="1"/>
  <c r="AE121" i="1" s="1"/>
  <c r="Z48" i="1"/>
  <c r="AA48" i="1"/>
  <c r="J49" i="1"/>
  <c r="K49" i="1" s="1"/>
  <c r="L49" i="1" s="1"/>
  <c r="AC121" i="1" l="1"/>
  <c r="AD121" i="1" s="1"/>
  <c r="M49" i="1"/>
  <c r="AB48" i="1"/>
  <c r="AF121" i="1" l="1"/>
  <c r="AG121" i="1"/>
  <c r="AE48" i="1"/>
  <c r="AC48" i="1"/>
  <c r="AD48" i="1" s="1"/>
  <c r="N49" i="1"/>
  <c r="V122" i="1"/>
  <c r="W122" i="1" s="1"/>
  <c r="X122" i="1" s="1"/>
  <c r="V49" i="1"/>
  <c r="W49" i="1" s="1"/>
  <c r="X49" i="1" s="1"/>
  <c r="I49" i="1"/>
  <c r="AF48" i="1" l="1"/>
  <c r="AG48" i="1"/>
  <c r="Y49" i="1"/>
  <c r="Y122" i="1"/>
  <c r="H50" i="1"/>
  <c r="O49" i="1"/>
  <c r="P49" i="1" s="1"/>
  <c r="AA122" i="1" l="1"/>
  <c r="Z122" i="1"/>
  <c r="J50" i="1"/>
  <c r="K50" i="1" s="1"/>
  <c r="L50" i="1" s="1"/>
  <c r="AH48" i="1"/>
  <c r="AA49" i="1"/>
  <c r="Z49" i="1"/>
  <c r="AB49" i="1" s="1"/>
  <c r="AB122" i="1" l="1"/>
  <c r="AE122" i="1" s="1"/>
  <c r="AE49" i="1"/>
  <c r="AC49" i="1"/>
  <c r="AD49" i="1" s="1"/>
  <c r="M50" i="1"/>
  <c r="AC122" i="1" l="1"/>
  <c r="AD122" i="1" s="1"/>
  <c r="AF122" i="1" s="1"/>
  <c r="AG49" i="1"/>
  <c r="AF49" i="1"/>
  <c r="N50" i="1"/>
  <c r="V123" i="1"/>
  <c r="W123" i="1" s="1"/>
  <c r="X123" i="1" s="1"/>
  <c r="I50" i="1"/>
  <c r="V50" i="1"/>
  <c r="W50" i="1" s="1"/>
  <c r="X50" i="1" s="1"/>
  <c r="AG122" i="1" l="1"/>
  <c r="AH49" i="1"/>
  <c r="H51" i="1"/>
  <c r="O50" i="1"/>
  <c r="P50" i="1" s="1"/>
  <c r="Y123" i="1"/>
  <c r="Y50" i="1"/>
  <c r="Z50" i="1" l="1"/>
  <c r="AA50" i="1"/>
  <c r="Z123" i="1"/>
  <c r="AA123" i="1"/>
  <c r="J51" i="1"/>
  <c r="K51" i="1" s="1"/>
  <c r="L51" i="1" s="1"/>
  <c r="M51" i="1" l="1"/>
  <c r="AB123" i="1"/>
  <c r="AB50" i="1"/>
  <c r="AE50" i="1" l="1"/>
  <c r="AC50" i="1"/>
  <c r="AD50" i="1" s="1"/>
  <c r="AE123" i="1"/>
  <c r="AC123" i="1"/>
  <c r="AD123" i="1" s="1"/>
  <c r="N51" i="1"/>
  <c r="V124" i="1"/>
  <c r="W124" i="1" s="1"/>
  <c r="X124" i="1" s="1"/>
  <c r="V51" i="1"/>
  <c r="W51" i="1" s="1"/>
  <c r="X51" i="1" s="1"/>
  <c r="I51" i="1"/>
  <c r="AF123" i="1" l="1"/>
  <c r="AG123" i="1"/>
  <c r="AG50" i="1"/>
  <c r="AF50" i="1"/>
  <c r="Y51" i="1"/>
  <c r="Y124" i="1"/>
  <c r="O51" i="1"/>
  <c r="P51" i="1" s="1"/>
  <c r="H52" i="1"/>
  <c r="AH50" i="1" l="1"/>
  <c r="J52" i="1"/>
  <c r="K52" i="1" s="1"/>
  <c r="L52" i="1" s="1"/>
  <c r="AA124" i="1"/>
  <c r="Z124" i="1"/>
  <c r="AB124" i="1" s="1"/>
  <c r="Z51" i="1"/>
  <c r="AA51" i="1"/>
  <c r="AB51" i="1" l="1"/>
  <c r="AE51" i="1" s="1"/>
  <c r="AE124" i="1"/>
  <c r="AC124" i="1"/>
  <c r="AD124" i="1" s="1"/>
  <c r="M52" i="1"/>
  <c r="AF124" i="1" l="1"/>
  <c r="AG124" i="1"/>
  <c r="AC51" i="1"/>
  <c r="AD51" i="1" s="1"/>
  <c r="N52" i="1"/>
  <c r="V125" i="1"/>
  <c r="W125" i="1" s="1"/>
  <c r="X125" i="1" s="1"/>
  <c r="Y125" i="1" s="1"/>
  <c r="V52" i="1"/>
  <c r="W52" i="1" s="1"/>
  <c r="X52" i="1" s="1"/>
  <c r="I52" i="1"/>
  <c r="AF51" i="1" l="1"/>
  <c r="AG51" i="1"/>
  <c r="Y52" i="1"/>
  <c r="H53" i="1"/>
  <c r="O52" i="1"/>
  <c r="P52" i="1" s="1"/>
  <c r="AA125" i="1"/>
  <c r="Z125" i="1"/>
  <c r="AH51" i="1" l="1"/>
  <c r="AB125" i="1"/>
  <c r="AE125" i="1" s="1"/>
  <c r="AC125" i="1"/>
  <c r="AD125" i="1" s="1"/>
  <c r="J53" i="1"/>
  <c r="K53" i="1" s="1"/>
  <c r="L53" i="1" s="1"/>
  <c r="Z52" i="1"/>
  <c r="AA52" i="1"/>
  <c r="AG125" i="1" l="1"/>
  <c r="AF125" i="1"/>
  <c r="M53" i="1"/>
  <c r="AB52" i="1"/>
  <c r="AE52" i="1" l="1"/>
  <c r="AC52" i="1"/>
  <c r="AD52" i="1" s="1"/>
  <c r="N53" i="1"/>
  <c r="V126" i="1"/>
  <c r="W126" i="1" s="1"/>
  <c r="X126" i="1" s="1"/>
  <c r="V53" i="1"/>
  <c r="W53" i="1" s="1"/>
  <c r="X53" i="1" s="1"/>
  <c r="I53" i="1"/>
  <c r="AF52" i="1" l="1"/>
  <c r="AG52" i="1"/>
  <c r="Y53" i="1"/>
  <c r="Y126" i="1"/>
  <c r="O53" i="1"/>
  <c r="P53" i="1" s="1"/>
  <c r="H54" i="1"/>
  <c r="AH52" i="1" l="1"/>
  <c r="Z126" i="1"/>
  <c r="AA126" i="1"/>
  <c r="J54" i="1"/>
  <c r="K54" i="1" s="1"/>
  <c r="L54" i="1" s="1"/>
  <c r="Z53" i="1"/>
  <c r="AA53" i="1"/>
  <c r="AB53" i="1" l="1"/>
  <c r="M54" i="1"/>
  <c r="AB126" i="1"/>
  <c r="N54" i="1" l="1"/>
  <c r="V127" i="1"/>
  <c r="W127" i="1" s="1"/>
  <c r="X127" i="1" s="1"/>
  <c r="I54" i="1"/>
  <c r="V54" i="1"/>
  <c r="W54" i="1" s="1"/>
  <c r="X54" i="1" s="1"/>
  <c r="AE126" i="1"/>
  <c r="AC126" i="1"/>
  <c r="AD126" i="1" s="1"/>
  <c r="AC53" i="1"/>
  <c r="AD53" i="1" s="1"/>
  <c r="AE53" i="1"/>
  <c r="AG126" i="1" l="1"/>
  <c r="AF126" i="1"/>
  <c r="AG53" i="1"/>
  <c r="AF53" i="1"/>
  <c r="Y54" i="1"/>
  <c r="Y127" i="1"/>
  <c r="H55" i="1"/>
  <c r="O54" i="1"/>
  <c r="P54" i="1" s="1"/>
  <c r="AH53" i="1" l="1"/>
  <c r="J55" i="1"/>
  <c r="K55" i="1" s="1"/>
  <c r="L55" i="1" s="1"/>
  <c r="AA127" i="1"/>
  <c r="Z127" i="1"/>
  <c r="AA54" i="1"/>
  <c r="Z54" i="1"/>
  <c r="AB127" i="1" l="1"/>
  <c r="AB54" i="1"/>
  <c r="AE127" i="1"/>
  <c r="AC127" i="1"/>
  <c r="AD127" i="1" s="1"/>
  <c r="AE54" i="1"/>
  <c r="AC54" i="1"/>
  <c r="AD54" i="1" s="1"/>
  <c r="M55" i="1"/>
  <c r="AF127" i="1" l="1"/>
  <c r="AG127" i="1"/>
  <c r="AF54" i="1"/>
  <c r="AG54" i="1"/>
  <c r="N55" i="1"/>
  <c r="V128" i="1"/>
  <c r="W128" i="1" s="1"/>
  <c r="X128" i="1" s="1"/>
  <c r="V55" i="1"/>
  <c r="W55" i="1" s="1"/>
  <c r="X55" i="1" s="1"/>
  <c r="I55" i="1"/>
  <c r="AH54" i="1" l="1"/>
  <c r="H56" i="1"/>
  <c r="O55" i="1"/>
  <c r="P55" i="1" s="1"/>
  <c r="Y55" i="1"/>
  <c r="Y128" i="1"/>
  <c r="AA128" i="1" l="1"/>
  <c r="Z128" i="1"/>
  <c r="AB128" i="1" s="1"/>
  <c r="Z55" i="1"/>
  <c r="AA55" i="1"/>
  <c r="J56" i="1"/>
  <c r="K56" i="1" s="1"/>
  <c r="L56" i="1" s="1"/>
  <c r="AB55" i="1" l="1"/>
  <c r="AC55" i="1" s="1"/>
  <c r="AD55" i="1" s="1"/>
  <c r="M56" i="1"/>
  <c r="AE128" i="1"/>
  <c r="AC128" i="1"/>
  <c r="AD128" i="1" s="1"/>
  <c r="AE55" i="1" l="1"/>
  <c r="AG128" i="1"/>
  <c r="AF128" i="1"/>
  <c r="AF55" i="1"/>
  <c r="AG55" i="1"/>
  <c r="N56" i="1"/>
  <c r="V129" i="1"/>
  <c r="W129" i="1" s="1"/>
  <c r="X129" i="1" s="1"/>
  <c r="V56" i="1"/>
  <c r="W56" i="1" s="1"/>
  <c r="X56" i="1" s="1"/>
  <c r="I56" i="1"/>
  <c r="AH55" i="1" l="1"/>
  <c r="Y129" i="1"/>
  <c r="Y56" i="1"/>
  <c r="O56" i="1"/>
  <c r="P56" i="1" s="1"/>
  <c r="H57" i="1"/>
  <c r="J57" i="1" l="1"/>
  <c r="K57" i="1" s="1"/>
  <c r="L57" i="1" s="1"/>
  <c r="M57" i="1" s="1"/>
  <c r="V57" i="1" s="1"/>
  <c r="W57" i="1" s="1"/>
  <c r="Z56" i="1"/>
  <c r="AA56" i="1"/>
  <c r="AA129" i="1"/>
  <c r="Z129" i="1"/>
  <c r="AB129" i="1" l="1"/>
  <c r="AE129" i="1" s="1"/>
  <c r="I57" i="1"/>
  <c r="AB56" i="1"/>
  <c r="N57" i="1"/>
  <c r="V130" i="1"/>
  <c r="W130" i="1" s="1"/>
  <c r="X130" i="1" s="1"/>
  <c r="AC129" i="1" l="1"/>
  <c r="AD129" i="1" s="1"/>
  <c r="AF129" i="1"/>
  <c r="AG129" i="1"/>
  <c r="Y130" i="1"/>
  <c r="H58" i="1"/>
  <c r="O57" i="1"/>
  <c r="P57" i="1" s="1"/>
  <c r="AE56" i="1"/>
  <c r="AC56" i="1"/>
  <c r="AD56" i="1" s="1"/>
  <c r="X57" i="1"/>
  <c r="AG56" i="1" l="1"/>
  <c r="AF56" i="1"/>
  <c r="AH56" i="1" s="1"/>
  <c r="J58" i="1"/>
  <c r="K58" i="1" s="1"/>
  <c r="L58" i="1" s="1"/>
  <c r="Y57" i="1"/>
  <c r="Z130" i="1"/>
  <c r="AA130" i="1"/>
  <c r="AB130" i="1" l="1"/>
  <c r="AE130" i="1" s="1"/>
  <c r="Z57" i="1"/>
  <c r="AA57" i="1"/>
  <c r="M58" i="1"/>
  <c r="AB57" i="1" l="1"/>
  <c r="AE57" i="1" s="1"/>
  <c r="AC130" i="1"/>
  <c r="AD130" i="1" s="1"/>
  <c r="AG130" i="1" s="1"/>
  <c r="N58" i="1"/>
  <c r="V131" i="1"/>
  <c r="W131" i="1" s="1"/>
  <c r="X131" i="1" s="1"/>
  <c r="V58" i="1"/>
  <c r="W58" i="1" s="1"/>
  <c r="I58" i="1"/>
  <c r="AF130" i="1" l="1"/>
  <c r="AC57" i="1"/>
  <c r="AD57" i="1" s="1"/>
  <c r="AF57" i="1" s="1"/>
  <c r="X58" i="1"/>
  <c r="Y58" i="1" s="1"/>
  <c r="Y131" i="1"/>
  <c r="H59" i="1"/>
  <c r="O58" i="1"/>
  <c r="P58" i="1" s="1"/>
  <c r="AG57" i="1" l="1"/>
  <c r="AH57" i="1" s="1"/>
  <c r="Z131" i="1"/>
  <c r="AA131" i="1"/>
  <c r="J59" i="1"/>
  <c r="K59" i="1" s="1"/>
  <c r="L59" i="1" s="1"/>
  <c r="Z58" i="1"/>
  <c r="AA58" i="1"/>
  <c r="M59" i="1" l="1"/>
  <c r="AB58" i="1"/>
  <c r="AB131" i="1"/>
  <c r="AE131" i="1" l="1"/>
  <c r="AC131" i="1"/>
  <c r="AD131" i="1" s="1"/>
  <c r="AE58" i="1"/>
  <c r="AC58" i="1"/>
  <c r="AD58" i="1" s="1"/>
  <c r="N59" i="1"/>
  <c r="V132" i="1"/>
  <c r="W132" i="1" s="1"/>
  <c r="X132" i="1" s="1"/>
  <c r="I59" i="1"/>
  <c r="V59" i="1"/>
  <c r="W59" i="1" s="1"/>
  <c r="X59" i="1" s="1"/>
  <c r="AF131" i="1" l="1"/>
  <c r="AG131" i="1"/>
  <c r="AF58" i="1"/>
  <c r="AG58" i="1"/>
  <c r="Y132" i="1"/>
  <c r="Y59" i="1"/>
  <c r="H60" i="1"/>
  <c r="O59" i="1"/>
  <c r="P59" i="1" s="1"/>
  <c r="AH58" i="1" l="1"/>
  <c r="AA59" i="1"/>
  <c r="Z59" i="1"/>
  <c r="AB59" i="1" s="1"/>
  <c r="J60" i="1"/>
  <c r="K60" i="1" s="1"/>
  <c r="L60" i="1" s="1"/>
  <c r="Z132" i="1"/>
  <c r="AA132" i="1"/>
  <c r="AE59" i="1" l="1"/>
  <c r="AC59" i="1"/>
  <c r="AD59" i="1" s="1"/>
  <c r="M60" i="1"/>
  <c r="AB132" i="1"/>
  <c r="AF59" i="1" l="1"/>
  <c r="AG59" i="1"/>
  <c r="N60" i="1"/>
  <c r="V133" i="1"/>
  <c r="W133" i="1" s="1"/>
  <c r="X133" i="1" s="1"/>
  <c r="Y133" i="1" s="1"/>
  <c r="I60" i="1"/>
  <c r="V60" i="1"/>
  <c r="W60" i="1" s="1"/>
  <c r="X60" i="1" s="1"/>
  <c r="AE132" i="1"/>
  <c r="AC132" i="1"/>
  <c r="AD132" i="1" s="1"/>
  <c r="AG132" i="1" l="1"/>
  <c r="AF132" i="1"/>
  <c r="AH59" i="1"/>
  <c r="Y60" i="1"/>
  <c r="Z133" i="1"/>
  <c r="AA133" i="1"/>
  <c r="O60" i="1"/>
  <c r="P60" i="1" s="1"/>
  <c r="H61" i="1"/>
  <c r="J61" i="1" l="1"/>
  <c r="K61" i="1" s="1"/>
  <c r="L61" i="1" s="1"/>
  <c r="M61" i="1" s="1"/>
  <c r="V61" i="1" s="1"/>
  <c r="W61" i="1" s="1"/>
  <c r="AB133" i="1"/>
  <c r="Z60" i="1"/>
  <c r="AA60" i="1"/>
  <c r="AB60" i="1" l="1"/>
  <c r="AC60" i="1" s="1"/>
  <c r="AD60" i="1" s="1"/>
  <c r="I61" i="1"/>
  <c r="AE60" i="1"/>
  <c r="AE133" i="1"/>
  <c r="AC133" i="1"/>
  <c r="AD133" i="1" s="1"/>
  <c r="N61" i="1"/>
  <c r="V134" i="1"/>
  <c r="W134" i="1" s="1"/>
  <c r="X134" i="1" s="1"/>
  <c r="Y134" i="1" s="1"/>
  <c r="X61" i="1" l="1"/>
  <c r="AF133" i="1"/>
  <c r="AG133" i="1"/>
  <c r="AG60" i="1"/>
  <c r="AF60" i="1"/>
  <c r="AA134" i="1"/>
  <c r="Z134" i="1"/>
  <c r="Y61" i="1"/>
  <c r="H62" i="1"/>
  <c r="O61" i="1"/>
  <c r="P61" i="1" s="1"/>
  <c r="AH60" i="1" l="1"/>
  <c r="AB134" i="1"/>
  <c r="AE134" i="1" s="1"/>
  <c r="Z61" i="1"/>
  <c r="AA61" i="1"/>
  <c r="J62" i="1"/>
  <c r="K62" i="1" s="1"/>
  <c r="L62" i="1" s="1"/>
  <c r="AC134" i="1" l="1"/>
  <c r="AD134" i="1" s="1"/>
  <c r="M62" i="1"/>
  <c r="AB61" i="1"/>
  <c r="AF134" i="1" l="1"/>
  <c r="AG134" i="1"/>
  <c r="AE61" i="1"/>
  <c r="AC61" i="1"/>
  <c r="AD61" i="1" s="1"/>
  <c r="N62" i="1"/>
  <c r="V135" i="1"/>
  <c r="W135" i="1" s="1"/>
  <c r="X135" i="1" s="1"/>
  <c r="V62" i="1"/>
  <c r="W62" i="1" s="1"/>
  <c r="X62" i="1" s="1"/>
  <c r="I62" i="1"/>
  <c r="AF61" i="1" l="1"/>
  <c r="AG61" i="1"/>
  <c r="Y62" i="1"/>
  <c r="Y135" i="1"/>
  <c r="O62" i="1"/>
  <c r="P62" i="1" s="1"/>
  <c r="H63" i="1"/>
  <c r="AH61" i="1" l="1"/>
  <c r="AA135" i="1"/>
  <c r="Z135" i="1"/>
  <c r="AB135" i="1" s="1"/>
  <c r="J63" i="1"/>
  <c r="K63" i="1" s="1"/>
  <c r="L63" i="1" s="1"/>
  <c r="Z62" i="1"/>
  <c r="AA62" i="1"/>
  <c r="AE135" i="1" l="1"/>
  <c r="AC135" i="1"/>
  <c r="AD135" i="1" s="1"/>
  <c r="M63" i="1"/>
  <c r="AB62" i="1"/>
  <c r="AF135" i="1" l="1"/>
  <c r="AG135" i="1"/>
  <c r="AE62" i="1"/>
  <c r="AC62" i="1"/>
  <c r="AD62" i="1" s="1"/>
  <c r="N63" i="1"/>
  <c r="V136" i="1"/>
  <c r="W136" i="1" s="1"/>
  <c r="X136" i="1" s="1"/>
  <c r="V63" i="1"/>
  <c r="W63" i="1" s="1"/>
  <c r="X63" i="1" s="1"/>
  <c r="I63" i="1"/>
  <c r="AG62" i="1" l="1"/>
  <c r="AF62" i="1"/>
  <c r="Y63" i="1"/>
  <c r="Y136" i="1"/>
  <c r="H64" i="1"/>
  <c r="O63" i="1"/>
  <c r="P63" i="1" s="1"/>
  <c r="AA136" i="1" l="1"/>
  <c r="Z136" i="1"/>
  <c r="AH62" i="1"/>
  <c r="J64" i="1"/>
  <c r="K64" i="1" s="1"/>
  <c r="L64" i="1" s="1"/>
  <c r="AA63" i="1"/>
  <c r="Z63" i="1"/>
  <c r="AB63" i="1" l="1"/>
  <c r="AC63" i="1" s="1"/>
  <c r="AD63" i="1" s="1"/>
  <c r="AB136" i="1"/>
  <c r="AC136" i="1" s="1"/>
  <c r="AD136" i="1" s="1"/>
  <c r="M64" i="1"/>
  <c r="AG136" i="1" l="1"/>
  <c r="AF136" i="1"/>
  <c r="AE136" i="1"/>
  <c r="AG63" i="1"/>
  <c r="AF63" i="1"/>
  <c r="AE63" i="1"/>
  <c r="N64" i="1"/>
  <c r="V137" i="1"/>
  <c r="W137" i="1" s="1"/>
  <c r="X137" i="1" s="1"/>
  <c r="Y137" i="1" s="1"/>
  <c r="I64" i="1"/>
  <c r="V64" i="1"/>
  <c r="W64" i="1" s="1"/>
  <c r="X64" i="1" s="1"/>
  <c r="AH63" i="1" l="1"/>
  <c r="Y64" i="1"/>
  <c r="H65" i="1"/>
  <c r="O64" i="1"/>
  <c r="P64" i="1" s="1"/>
  <c r="AA137" i="1"/>
  <c r="Z137" i="1"/>
  <c r="AB137" i="1" s="1"/>
  <c r="AE137" i="1" l="1"/>
  <c r="AC137" i="1"/>
  <c r="AD137" i="1" s="1"/>
  <c r="J65" i="1"/>
  <c r="K65" i="1" s="1"/>
  <c r="L65" i="1" s="1"/>
  <c r="AA64" i="1"/>
  <c r="Z64" i="1"/>
  <c r="AG137" i="1" l="1"/>
  <c r="AF137" i="1"/>
  <c r="AB64" i="1"/>
  <c r="AE64" i="1" s="1"/>
  <c r="M65" i="1"/>
  <c r="AC64" i="1" l="1"/>
  <c r="AD64" i="1" s="1"/>
  <c r="AG64" i="1" s="1"/>
  <c r="N65" i="1"/>
  <c r="V138" i="1"/>
  <c r="W138" i="1" s="1"/>
  <c r="X138" i="1" s="1"/>
  <c r="V65" i="1"/>
  <c r="W65" i="1" s="1"/>
  <c r="X65" i="1" s="1"/>
  <c r="I65" i="1"/>
  <c r="AF64" i="1" l="1"/>
  <c r="Y138" i="1"/>
  <c r="Y65" i="1"/>
  <c r="O65" i="1"/>
  <c r="P65" i="1" s="1"/>
  <c r="H66" i="1"/>
  <c r="AH64" i="1"/>
  <c r="Z65" i="1" l="1"/>
  <c r="AA65" i="1"/>
  <c r="J66" i="1"/>
  <c r="K66" i="1" s="1"/>
  <c r="L66" i="1" s="1"/>
  <c r="Z138" i="1"/>
  <c r="AA138" i="1"/>
  <c r="M66" i="1" l="1"/>
  <c r="AB138" i="1"/>
  <c r="AB65" i="1"/>
  <c r="AE138" i="1" l="1"/>
  <c r="AC138" i="1"/>
  <c r="AD138" i="1" s="1"/>
  <c r="AE65" i="1"/>
  <c r="AC65" i="1"/>
  <c r="AD65" i="1" s="1"/>
  <c r="N66" i="1"/>
  <c r="V139" i="1"/>
  <c r="W139" i="1" s="1"/>
  <c r="X139" i="1" s="1"/>
  <c r="I66" i="1"/>
  <c r="V66" i="1"/>
  <c r="W66" i="1" s="1"/>
  <c r="X66" i="1" s="1"/>
  <c r="AG138" i="1" l="1"/>
  <c r="AF138" i="1"/>
  <c r="AF65" i="1"/>
  <c r="AG65" i="1"/>
  <c r="Y139" i="1"/>
  <c r="Y66" i="1"/>
  <c r="H67" i="1"/>
  <c r="O66" i="1"/>
  <c r="P66" i="1" s="1"/>
  <c r="AH65" i="1" l="1"/>
  <c r="J67" i="1"/>
  <c r="K67" i="1" s="1"/>
  <c r="L67" i="1" s="1"/>
  <c r="M67" i="1" s="1"/>
  <c r="V67" i="1" s="1"/>
  <c r="W67" i="1" s="1"/>
  <c r="AA66" i="1"/>
  <c r="Z66" i="1"/>
  <c r="Z139" i="1"/>
  <c r="AA139" i="1"/>
  <c r="I67" i="1" l="1"/>
  <c r="AB139" i="1"/>
  <c r="AE139" i="1" s="1"/>
  <c r="AB66" i="1"/>
  <c r="AE66" i="1" s="1"/>
  <c r="N67" i="1"/>
  <c r="V140" i="1"/>
  <c r="W140" i="1" s="1"/>
  <c r="X140" i="1" s="1"/>
  <c r="X67" i="1" l="1"/>
  <c r="Y67" i="1" s="1"/>
  <c r="AC66" i="1"/>
  <c r="AD66" i="1" s="1"/>
  <c r="AC139" i="1"/>
  <c r="AD139" i="1" s="1"/>
  <c r="Y140" i="1"/>
  <c r="H68" i="1"/>
  <c r="O67" i="1"/>
  <c r="P67" i="1" s="1"/>
  <c r="AF139" i="1" l="1"/>
  <c r="AG139" i="1"/>
  <c r="AG66" i="1"/>
  <c r="AF66" i="1"/>
  <c r="Z140" i="1"/>
  <c r="AA140" i="1"/>
  <c r="J68" i="1"/>
  <c r="K68" i="1" s="1"/>
  <c r="L68" i="1" s="1"/>
  <c r="M68" i="1" s="1"/>
  <c r="V68" i="1" s="1"/>
  <c r="W68" i="1" s="1"/>
  <c r="Z67" i="1"/>
  <c r="AA67" i="1"/>
  <c r="AH66" i="1" l="1"/>
  <c r="I68" i="1"/>
  <c r="AB67" i="1"/>
  <c r="N68" i="1"/>
  <c r="V141" i="1"/>
  <c r="W141" i="1" s="1"/>
  <c r="AB140" i="1"/>
  <c r="H69" i="1" l="1"/>
  <c r="O68" i="1"/>
  <c r="P68" i="1" s="1"/>
  <c r="AE140" i="1"/>
  <c r="X141" i="1"/>
  <c r="AC140" i="1"/>
  <c r="AD140" i="1" s="1"/>
  <c r="AE67" i="1"/>
  <c r="X68" i="1"/>
  <c r="AC67" i="1"/>
  <c r="AD67" i="1" s="1"/>
  <c r="AF140" i="1" l="1"/>
  <c r="AG140" i="1"/>
  <c r="AG67" i="1"/>
  <c r="AF67" i="1"/>
  <c r="Y141" i="1"/>
  <c r="Y68" i="1"/>
  <c r="J69" i="1"/>
  <c r="K69" i="1" s="1"/>
  <c r="L69" i="1" s="1"/>
  <c r="AH67" i="1" l="1"/>
  <c r="M69" i="1"/>
  <c r="Z141" i="1"/>
  <c r="AA141" i="1"/>
  <c r="Z68" i="1"/>
  <c r="AA68" i="1"/>
  <c r="AB141" i="1" l="1"/>
  <c r="AE141" i="1" s="1"/>
  <c r="AB68" i="1"/>
  <c r="N69" i="1"/>
  <c r="V142" i="1"/>
  <c r="W142" i="1" s="1"/>
  <c r="I69" i="1"/>
  <c r="V69" i="1"/>
  <c r="W69" i="1" s="1"/>
  <c r="X142" i="1" l="1"/>
  <c r="Y142" i="1" s="1"/>
  <c r="AC141" i="1"/>
  <c r="AD141" i="1" s="1"/>
  <c r="AF141" i="1" s="1"/>
  <c r="AE68" i="1"/>
  <c r="X69" i="1"/>
  <c r="AC68" i="1"/>
  <c r="AD68" i="1" s="1"/>
  <c r="H70" i="1"/>
  <c r="O69" i="1"/>
  <c r="P69" i="1" s="1"/>
  <c r="AG141" i="1" l="1"/>
  <c r="AG68" i="1"/>
  <c r="AF68" i="1"/>
  <c r="Y69" i="1"/>
  <c r="J70" i="1"/>
  <c r="K70" i="1" s="1"/>
  <c r="L70" i="1" s="1"/>
  <c r="M70" i="1" s="1"/>
  <c r="V70" i="1" s="1"/>
  <c r="W70" i="1" s="1"/>
  <c r="Z142" i="1"/>
  <c r="AA142" i="1"/>
  <c r="AH68" i="1" l="1"/>
  <c r="AB142" i="1"/>
  <c r="I70" i="1"/>
  <c r="AE142" i="1"/>
  <c r="AC142" i="1"/>
  <c r="AD142" i="1" s="1"/>
  <c r="N70" i="1"/>
  <c r="V143" i="1"/>
  <c r="W143" i="1" s="1"/>
  <c r="AA69" i="1"/>
  <c r="Z69" i="1"/>
  <c r="AG142" i="1" l="1"/>
  <c r="AF142" i="1"/>
  <c r="X143" i="1"/>
  <c r="Y143" i="1" s="1"/>
  <c r="O70" i="1"/>
  <c r="P70" i="1" s="1"/>
  <c r="H71" i="1"/>
  <c r="AB69" i="1"/>
  <c r="J71" i="1" l="1"/>
  <c r="K71" i="1" s="1"/>
  <c r="L71" i="1" s="1"/>
  <c r="M71" i="1" s="1"/>
  <c r="V71" i="1" s="1"/>
  <c r="W71" i="1" s="1"/>
  <c r="AE69" i="1"/>
  <c r="AC69" i="1"/>
  <c r="AD69" i="1" s="1"/>
  <c r="X70" i="1"/>
  <c r="AA143" i="1"/>
  <c r="Z143" i="1"/>
  <c r="I71" i="1" l="1"/>
  <c r="AF69" i="1"/>
  <c r="AG69" i="1"/>
  <c r="AB143" i="1"/>
  <c r="AE143" i="1" s="1"/>
  <c r="Y70" i="1"/>
  <c r="N71" i="1"/>
  <c r="V144" i="1"/>
  <c r="W144" i="1" s="1"/>
  <c r="AH69" i="1" l="1"/>
  <c r="AC143" i="1"/>
  <c r="AD143" i="1" s="1"/>
  <c r="X144" i="1"/>
  <c r="Y144" i="1" s="1"/>
  <c r="O71" i="1"/>
  <c r="P71" i="1" s="1"/>
  <c r="H72" i="1"/>
  <c r="Z70" i="1"/>
  <c r="AA70" i="1"/>
  <c r="AG143" i="1" l="1"/>
  <c r="AF143" i="1"/>
  <c r="AB70" i="1"/>
  <c r="AE70" i="1" s="1"/>
  <c r="J72" i="1"/>
  <c r="K72" i="1" s="1"/>
  <c r="L72" i="1" s="1"/>
  <c r="AA144" i="1"/>
  <c r="Z144" i="1"/>
  <c r="AB144" i="1" s="1"/>
  <c r="X71" i="1" l="1"/>
  <c r="Y71" i="1" s="1"/>
  <c r="AC70" i="1"/>
  <c r="AD70" i="1" s="1"/>
  <c r="AG70" i="1" s="1"/>
  <c r="AE144" i="1"/>
  <c r="AC144" i="1"/>
  <c r="AD144" i="1" s="1"/>
  <c r="M72" i="1"/>
  <c r="AF70" i="1" l="1"/>
  <c r="AF144" i="1"/>
  <c r="AG144" i="1"/>
  <c r="AH70" i="1"/>
  <c r="N72" i="1"/>
  <c r="V145" i="1"/>
  <c r="W145" i="1" s="1"/>
  <c r="X145" i="1" s="1"/>
  <c r="V72" i="1"/>
  <c r="W72" i="1" s="1"/>
  <c r="I72" i="1"/>
  <c r="AA71" i="1"/>
  <c r="Z71" i="1"/>
  <c r="AB71" i="1" l="1"/>
  <c r="AE71" i="1" s="1"/>
  <c r="Y145" i="1"/>
  <c r="H73" i="1"/>
  <c r="O72" i="1"/>
  <c r="P72" i="1" s="1"/>
  <c r="AC71" i="1" l="1"/>
  <c r="AD71" i="1" s="1"/>
  <c r="AG71" i="1" s="1"/>
  <c r="X72" i="1"/>
  <c r="Y72" i="1" s="1"/>
  <c r="AF71" i="1"/>
  <c r="J73" i="1"/>
  <c r="K73" i="1" s="1"/>
  <c r="L73" i="1" s="1"/>
  <c r="Z145" i="1"/>
  <c r="AA145" i="1"/>
  <c r="AH71" i="1" l="1"/>
  <c r="AB145" i="1"/>
  <c r="AE145" i="1" s="1"/>
  <c r="M73" i="1"/>
  <c r="Z72" i="1"/>
  <c r="AA72" i="1"/>
  <c r="AC145" i="1" l="1"/>
  <c r="AD145" i="1" s="1"/>
  <c r="AF145" i="1" s="1"/>
  <c r="AG145" i="1"/>
  <c r="AB72" i="1"/>
  <c r="AE72" i="1" s="1"/>
  <c r="N73" i="1"/>
  <c r="V146" i="1"/>
  <c r="W146" i="1" s="1"/>
  <c r="X146" i="1" s="1"/>
  <c r="V73" i="1"/>
  <c r="W73" i="1" s="1"/>
  <c r="I73" i="1"/>
  <c r="AC72" i="1" l="1"/>
  <c r="AD72" i="1" s="1"/>
  <c r="X73" i="1"/>
  <c r="Y73" i="1" s="1"/>
  <c r="Y146" i="1"/>
  <c r="H74" i="1"/>
  <c r="O73" i="1"/>
  <c r="P73" i="1" s="1"/>
  <c r="AF72" i="1" l="1"/>
  <c r="AG72" i="1"/>
  <c r="Z146" i="1"/>
  <c r="AA146" i="1"/>
  <c r="J74" i="1"/>
  <c r="K74" i="1" s="1"/>
  <c r="L74" i="1" s="1"/>
  <c r="Z73" i="1"/>
  <c r="AA73" i="1"/>
  <c r="AH72" i="1" l="1"/>
  <c r="M74" i="1"/>
  <c r="AB73" i="1"/>
  <c r="AB146" i="1"/>
  <c r="AE146" i="1" l="1"/>
  <c r="AC146" i="1"/>
  <c r="AD146" i="1" s="1"/>
  <c r="AE73" i="1"/>
  <c r="AC73" i="1"/>
  <c r="AD73" i="1" s="1"/>
  <c r="N74" i="1"/>
  <c r="V147" i="1"/>
  <c r="W147" i="1" s="1"/>
  <c r="X147" i="1" s="1"/>
  <c r="V74" i="1"/>
  <c r="W74" i="1" s="1"/>
  <c r="X74" i="1" s="1"/>
  <c r="I74" i="1"/>
  <c r="AF146" i="1" l="1"/>
  <c r="AG146" i="1"/>
  <c r="AF73" i="1"/>
  <c r="AG73" i="1"/>
  <c r="Y147" i="1"/>
  <c r="Y74" i="1"/>
  <c r="H75" i="1"/>
  <c r="O74" i="1"/>
  <c r="P74" i="1" s="1"/>
  <c r="AH73" i="1" l="1"/>
  <c r="AA74" i="1"/>
  <c r="Z74" i="1"/>
  <c r="AB74" i="1" s="1"/>
  <c r="J75" i="1"/>
  <c r="K75" i="1" s="1"/>
  <c r="L75" i="1" s="1"/>
  <c r="Z147" i="1"/>
  <c r="AA147" i="1"/>
  <c r="M75" i="1" l="1"/>
  <c r="AE74" i="1"/>
  <c r="AC74" i="1"/>
  <c r="AD74" i="1" s="1"/>
  <c r="AB147" i="1"/>
  <c r="AG74" i="1" l="1"/>
  <c r="AF74" i="1"/>
  <c r="AE147" i="1"/>
  <c r="AC147" i="1"/>
  <c r="AD147" i="1" s="1"/>
  <c r="N75" i="1"/>
  <c r="V148" i="1"/>
  <c r="W148" i="1" s="1"/>
  <c r="X148" i="1" s="1"/>
  <c r="V75" i="1"/>
  <c r="W75" i="1" s="1"/>
  <c r="X75" i="1" s="1"/>
  <c r="I75" i="1"/>
  <c r="AH74" i="1" l="1"/>
  <c r="AG147" i="1"/>
  <c r="AF147" i="1"/>
  <c r="Y148" i="1"/>
  <c r="Y75" i="1"/>
  <c r="H76" i="1"/>
  <c r="O75" i="1"/>
  <c r="P75" i="1" s="1"/>
  <c r="AA75" i="1" l="1"/>
  <c r="Z75" i="1"/>
  <c r="J76" i="1"/>
  <c r="K76" i="1" s="1"/>
  <c r="L76" i="1" s="1"/>
  <c r="M76" i="1" s="1"/>
  <c r="AA148" i="1"/>
  <c r="Z148" i="1"/>
  <c r="AB148" i="1" l="1"/>
  <c r="AE148" i="1" s="1"/>
  <c r="AB75" i="1"/>
  <c r="AE75" i="1" s="1"/>
  <c r="N76" i="1"/>
  <c r="V149" i="1"/>
  <c r="W149" i="1" s="1"/>
  <c r="V76" i="1"/>
  <c r="W76" i="1" s="1"/>
  <c r="AC148" i="1"/>
  <c r="AD148" i="1" s="1"/>
  <c r="I76" i="1"/>
  <c r="X149" i="1" l="1"/>
  <c r="Y149" i="1" s="1"/>
  <c r="AG148" i="1"/>
  <c r="AF148" i="1"/>
  <c r="X76" i="1"/>
  <c r="Y76" i="1" s="1"/>
  <c r="AC75" i="1"/>
  <c r="AD75" i="1" s="1"/>
  <c r="H77" i="1"/>
  <c r="O76" i="1"/>
  <c r="P76" i="1" s="1"/>
  <c r="AF75" i="1" l="1"/>
  <c r="AG75" i="1"/>
  <c r="AH75" i="1" s="1"/>
  <c r="J77" i="1"/>
  <c r="K77" i="1" s="1"/>
  <c r="L77" i="1" s="1"/>
  <c r="AA149" i="1"/>
  <c r="Z149" i="1"/>
  <c r="Z76" i="1"/>
  <c r="AA76" i="1"/>
  <c r="AB149" i="1" l="1"/>
  <c r="AE149" i="1" s="1"/>
  <c r="M77" i="1"/>
  <c r="AB76" i="1"/>
  <c r="AC149" i="1" l="1"/>
  <c r="AD149" i="1" s="1"/>
  <c r="AF149" i="1"/>
  <c r="AG149" i="1"/>
  <c r="AE76" i="1"/>
  <c r="AC76" i="1"/>
  <c r="AD76" i="1" s="1"/>
  <c r="N77" i="1"/>
  <c r="V150" i="1"/>
  <c r="W150" i="1" s="1"/>
  <c r="X150" i="1" s="1"/>
  <c r="Y150" i="1" s="1"/>
  <c r="V77" i="1"/>
  <c r="W77" i="1" s="1"/>
  <c r="X77" i="1" s="1"/>
  <c r="Y77" i="1" s="1"/>
  <c r="I77" i="1"/>
  <c r="B29" i="1" s="1" a="1"/>
  <c r="B29" i="1" s="1"/>
  <c r="AG76" i="1" l="1"/>
  <c r="AF76" i="1"/>
  <c r="AA150" i="1"/>
  <c r="Z150" i="1"/>
  <c r="Z77" i="1"/>
  <c r="AA77" i="1"/>
  <c r="H78" i="1"/>
  <c r="O77" i="1"/>
  <c r="P77" i="1" s="1"/>
  <c r="B30" i="1" s="1" a="1"/>
  <c r="B30" i="1" s="1"/>
  <c r="AB150" i="1" l="1"/>
  <c r="AE150" i="1" s="1"/>
  <c r="AH76" i="1"/>
  <c r="J78" i="1"/>
  <c r="K78" i="1" s="1"/>
  <c r="L78" i="1" s="1"/>
  <c r="M78" i="1" s="1"/>
  <c r="V78" i="1" s="1"/>
  <c r="W78" i="1" s="1"/>
  <c r="AB77" i="1"/>
  <c r="AC150" i="1" l="1"/>
  <c r="AD150" i="1" s="1"/>
  <c r="AF150" i="1" s="1"/>
  <c r="I78" i="1"/>
  <c r="AO28" i="1" s="1" a="1"/>
  <c r="AO28" i="1" s="1"/>
  <c r="AE77" i="1"/>
  <c r="X78" i="1"/>
  <c r="Y78" i="1" s="1"/>
  <c r="AC77" i="1"/>
  <c r="AD77" i="1" s="1"/>
  <c r="N78" i="1"/>
  <c r="AP28" i="1" s="1" a="1"/>
  <c r="V151" i="1"/>
  <c r="W151" i="1" s="1"/>
  <c r="X151" i="1" s="1"/>
  <c r="AG150" i="1" l="1"/>
  <c r="AF77" i="1"/>
  <c r="AG77" i="1"/>
  <c r="AQ33" i="1"/>
  <c r="AQ35" i="1"/>
  <c r="AQ59" i="1"/>
  <c r="AQ56" i="1"/>
  <c r="AQ40" i="1"/>
  <c r="AQ55" i="1"/>
  <c r="AQ53" i="1"/>
  <c r="AQ68" i="1"/>
  <c r="AQ61" i="1"/>
  <c r="AQ73" i="1"/>
  <c r="AQ41" i="1"/>
  <c r="AQ31" i="1"/>
  <c r="AQ70" i="1"/>
  <c r="AQ72" i="1"/>
  <c r="AQ46" i="1"/>
  <c r="AQ69" i="1"/>
  <c r="AQ75" i="1"/>
  <c r="AQ71" i="1"/>
  <c r="AQ58" i="1"/>
  <c r="AQ44" i="1"/>
  <c r="AQ66" i="1"/>
  <c r="AQ36" i="1"/>
  <c r="AQ39" i="1"/>
  <c r="AQ63" i="1"/>
  <c r="AQ65" i="1"/>
  <c r="AQ48" i="1"/>
  <c r="AP28" i="1"/>
  <c r="AQ28" i="1" s="1"/>
  <c r="AQ76" i="1"/>
  <c r="AQ54" i="1"/>
  <c r="AQ50" i="1"/>
  <c r="AQ52" i="1"/>
  <c r="AQ30" i="1"/>
  <c r="AQ38" i="1"/>
  <c r="AQ49" i="1"/>
  <c r="AQ34" i="1"/>
  <c r="AQ51" i="1"/>
  <c r="AQ60" i="1"/>
  <c r="AQ43" i="1"/>
  <c r="AQ64" i="1"/>
  <c r="AQ74" i="1"/>
  <c r="AQ62" i="1"/>
  <c r="AQ45" i="1"/>
  <c r="AQ57" i="1"/>
  <c r="AQ67" i="1"/>
  <c r="AQ77" i="1"/>
  <c r="AQ32" i="1"/>
  <c r="AQ47" i="1"/>
  <c r="AQ42" i="1"/>
  <c r="AQ37" i="1"/>
  <c r="Z78" i="1"/>
  <c r="AA78" i="1"/>
  <c r="Y151" i="1"/>
  <c r="O78" i="1"/>
  <c r="P78" i="1" s="1"/>
  <c r="AV28" i="1" a="1"/>
  <c r="AQ29" i="1" l="1"/>
  <c r="AR51" i="1" s="1" a="1"/>
  <c r="AR51" i="1" s="1"/>
  <c r="AR77" i="1" a="1"/>
  <c r="AR77" i="1" s="1"/>
  <c r="AR72" i="1" a="1"/>
  <c r="AR72" i="1" s="1"/>
  <c r="AR62" i="1" a="1"/>
  <c r="AR62" i="1" s="1"/>
  <c r="AR42" i="1" a="1"/>
  <c r="AR42" i="1" s="1"/>
  <c r="AR43" i="1" a="1"/>
  <c r="AR43" i="1" s="1"/>
  <c r="AR30" i="1" a="1"/>
  <c r="AR30" i="1" s="1"/>
  <c r="AR76" i="1" a="1"/>
  <c r="AR76" i="1" s="1"/>
  <c r="AR61" i="1" a="1"/>
  <c r="AR61" i="1" s="1"/>
  <c r="AR37" i="1" a="1"/>
  <c r="AR37" i="1" s="1"/>
  <c r="AR66" i="1" a="1"/>
  <c r="AR66" i="1" s="1"/>
  <c r="AR58" i="1" a="1"/>
  <c r="AR58" i="1" s="1"/>
  <c r="AR63" i="1" a="1"/>
  <c r="AR63" i="1" s="1"/>
  <c r="AR55" i="1" a="1"/>
  <c r="AR55" i="1" s="1"/>
  <c r="AR68" i="1" a="1"/>
  <c r="AR68" i="1" s="1"/>
  <c r="AR34" i="1" a="1"/>
  <c r="AR34" i="1" s="1"/>
  <c r="AR57" i="1" a="1"/>
  <c r="AR57" i="1" s="1"/>
  <c r="AR47" i="1" a="1"/>
  <c r="AR47" i="1" s="1"/>
  <c r="AR40" i="1" a="1"/>
  <c r="AR40" i="1" s="1"/>
  <c r="AR52" i="1" a="1"/>
  <c r="AR52" i="1" s="1"/>
  <c r="AR46" i="1" a="1"/>
  <c r="AR46" i="1" s="1"/>
  <c r="AR32" i="1" a="1"/>
  <c r="AR32" i="1" s="1"/>
  <c r="AR44" i="1" a="1"/>
  <c r="AR44" i="1" s="1"/>
  <c r="AR64" i="1" a="1"/>
  <c r="AR64" i="1" s="1"/>
  <c r="AR36" i="1" a="1"/>
  <c r="AR36" i="1" s="1"/>
  <c r="AR70" i="1" a="1"/>
  <c r="AR70" i="1" s="1"/>
  <c r="AR41" i="1" a="1"/>
  <c r="AR41" i="1" s="1"/>
  <c r="AR39" i="1" a="1"/>
  <c r="AR39" i="1" s="1"/>
  <c r="AR78" i="1" a="1"/>
  <c r="AR78" i="1" s="1"/>
  <c r="AR73" i="1" a="1"/>
  <c r="AR73" i="1" s="1"/>
  <c r="AR50" i="1" a="1"/>
  <c r="AR50" i="1" s="1"/>
  <c r="AR28" i="1" a="1"/>
  <c r="AR28" i="1" s="1"/>
  <c r="AR71" i="1" a="1"/>
  <c r="AR71" i="1" s="1"/>
  <c r="AB78" i="1"/>
  <c r="AC78" i="1" s="1"/>
  <c r="AD78" i="1" s="1"/>
  <c r="AH77" i="1"/>
  <c r="B32" i="1" s="1" a="1"/>
  <c r="B32" i="1" s="1"/>
  <c r="AW77" i="1" s="1"/>
  <c r="Z151" i="1"/>
  <c r="AA151" i="1"/>
  <c r="AV28" i="1"/>
  <c r="AW28" i="1" s="1"/>
  <c r="AW74" i="1"/>
  <c r="AW71" i="1"/>
  <c r="AW70" i="1"/>
  <c r="AW63" i="1"/>
  <c r="AW68" i="1"/>
  <c r="AW65" i="1"/>
  <c r="AW76" i="1"/>
  <c r="AW73" i="1"/>
  <c r="AW64" i="1"/>
  <c r="AW60" i="1"/>
  <c r="AW72" i="1"/>
  <c r="AW58" i="1"/>
  <c r="AW75" i="1"/>
  <c r="AW69" i="1"/>
  <c r="AW61" i="1"/>
  <c r="AW59" i="1"/>
  <c r="AW62" i="1"/>
  <c r="AW66" i="1"/>
  <c r="AW67" i="1"/>
  <c r="AW55" i="1"/>
  <c r="AW38" i="1"/>
  <c r="AW36" i="1"/>
  <c r="AW35" i="1"/>
  <c r="AW44" i="1"/>
  <c r="AW53" i="1"/>
  <c r="AW48" i="1"/>
  <c r="AW49" i="1"/>
  <c r="AW47" i="1"/>
  <c r="AW50" i="1"/>
  <c r="AW40" i="1"/>
  <c r="AW39" i="1"/>
  <c r="AW45" i="1"/>
  <c r="AW41" i="1"/>
  <c r="AW56" i="1"/>
  <c r="AW43" i="1"/>
  <c r="AW31" i="1"/>
  <c r="AW34" i="1"/>
  <c r="AW33" i="1"/>
  <c r="AW46" i="1"/>
  <c r="AW54" i="1"/>
  <c r="AW51" i="1"/>
  <c r="AW52" i="1"/>
  <c r="AW32" i="1"/>
  <c r="AW30" i="1"/>
  <c r="AW42" i="1"/>
  <c r="AW37" i="1"/>
  <c r="AW57" i="1"/>
  <c r="AR49" i="1" l="1" a="1"/>
  <c r="AR49" i="1" s="1"/>
  <c r="AR59" i="1" a="1"/>
  <c r="AR59" i="1" s="1"/>
  <c r="AR65" i="1" a="1"/>
  <c r="AR65" i="1" s="1"/>
  <c r="AR54" i="1" a="1"/>
  <c r="AR54" i="1" s="1"/>
  <c r="AR74" i="1" a="1"/>
  <c r="AR74" i="1" s="1"/>
  <c r="AR31" i="1" a="1"/>
  <c r="AR31" i="1" s="1"/>
  <c r="AR69" i="1" a="1"/>
  <c r="AR69" i="1" s="1"/>
  <c r="AR33" i="1" a="1"/>
  <c r="AR33" i="1" s="1"/>
  <c r="AR75" i="1" a="1"/>
  <c r="AR75" i="1" s="1"/>
  <c r="AR38" i="1" a="1"/>
  <c r="AR38" i="1" s="1"/>
  <c r="AR60" i="1" a="1"/>
  <c r="AR60" i="1" s="1"/>
  <c r="AR67" i="1" a="1"/>
  <c r="AR67" i="1" s="1"/>
  <c r="AR53" i="1" a="1"/>
  <c r="AR53" i="1" s="1"/>
  <c r="AR48" i="1" a="1"/>
  <c r="AR48" i="1" s="1"/>
  <c r="AR35" i="1" a="1"/>
  <c r="AR35" i="1" s="1"/>
  <c r="AR29" i="1" a="1"/>
  <c r="AR29" i="1" s="1"/>
  <c r="AR56" i="1" a="1"/>
  <c r="AR56" i="1" s="1"/>
  <c r="AE78" i="1"/>
  <c r="AR45" i="1" a="1"/>
  <c r="AR45" i="1" s="1"/>
  <c r="AG78" i="1"/>
  <c r="AF78" i="1"/>
  <c r="AB151" i="1"/>
  <c r="AE151" i="1" s="1"/>
  <c r="AY28" i="1" a="1"/>
  <c r="AH141" i="1"/>
  <c r="AW29" i="1"/>
  <c r="AH78" i="1" l="1"/>
  <c r="AZ76" i="1"/>
  <c r="AZ73" i="1"/>
  <c r="AZ69" i="1"/>
  <c r="AZ75" i="1"/>
  <c r="BA75" i="1" s="1" a="1"/>
  <c r="BA75" i="1" s="1"/>
  <c r="AZ74" i="1"/>
  <c r="BA74" i="1" s="1" a="1"/>
  <c r="BA74" i="1" s="1"/>
  <c r="AZ71" i="1"/>
  <c r="BA71" i="1" s="1" a="1"/>
  <c r="BA71" i="1" s="1"/>
  <c r="AZ72" i="1"/>
  <c r="AZ70" i="1"/>
  <c r="AZ68" i="1"/>
  <c r="AZ48" i="1"/>
  <c r="AZ55" i="1"/>
  <c r="BA55" i="1" s="1" a="1"/>
  <c r="BA55" i="1" s="1"/>
  <c r="AZ65" i="1"/>
  <c r="AZ62" i="1"/>
  <c r="AZ56" i="1"/>
  <c r="AZ63" i="1"/>
  <c r="BA63" i="1" s="1" a="1"/>
  <c r="BA63" i="1" s="1"/>
  <c r="AZ54" i="1"/>
  <c r="BA54" i="1" s="1" a="1"/>
  <c r="BA54" i="1" s="1"/>
  <c r="AZ51" i="1"/>
  <c r="BA51" i="1" s="1" a="1"/>
  <c r="BA51" i="1" s="1"/>
  <c r="AZ60" i="1"/>
  <c r="AZ59" i="1"/>
  <c r="BA59" i="1" s="1" a="1"/>
  <c r="BA59" i="1" s="1"/>
  <c r="AZ53" i="1"/>
  <c r="AZ58" i="1"/>
  <c r="BA58" i="1" s="1" a="1"/>
  <c r="BA58" i="1" s="1"/>
  <c r="AZ52" i="1"/>
  <c r="BA52" i="1" s="1" a="1"/>
  <c r="BA52" i="1" s="1"/>
  <c r="AZ64" i="1"/>
  <c r="BA64" i="1" s="1" a="1"/>
  <c r="BA64" i="1" s="1"/>
  <c r="AZ49" i="1"/>
  <c r="AZ61" i="1"/>
  <c r="BA61" i="1" s="1" a="1"/>
  <c r="BA61" i="1" s="1"/>
  <c r="AZ66" i="1"/>
  <c r="AZ50" i="1"/>
  <c r="BA50" i="1" s="1" a="1"/>
  <c r="BA50" i="1" s="1"/>
  <c r="BA48" i="1" a="1"/>
  <c r="BA48" i="1" s="1"/>
  <c r="AZ43" i="1"/>
  <c r="BA43" i="1" s="1" a="1"/>
  <c r="BA43" i="1" s="1"/>
  <c r="AZ45" i="1"/>
  <c r="AZ44" i="1"/>
  <c r="AZ47" i="1"/>
  <c r="AZ46" i="1"/>
  <c r="AC151" i="1"/>
  <c r="AD151" i="1" s="1"/>
  <c r="AZ33" i="1"/>
  <c r="AY28" i="1"/>
  <c r="AZ28" i="1" s="1"/>
  <c r="AZ34" i="1"/>
  <c r="AZ35" i="1"/>
  <c r="AZ39" i="1"/>
  <c r="BA39" i="1" s="1" a="1"/>
  <c r="BA39" i="1" s="1"/>
  <c r="AZ41" i="1"/>
  <c r="AZ40" i="1"/>
  <c r="BA40" i="1" s="1" a="1"/>
  <c r="BA40" i="1" s="1"/>
  <c r="AZ36" i="1"/>
  <c r="AZ38" i="1"/>
  <c r="BA38" i="1" s="1" a="1"/>
  <c r="BA38" i="1" s="1"/>
  <c r="BA41" i="1" a="1"/>
  <c r="BA41" i="1" s="1"/>
  <c r="AX48" i="1" a="1"/>
  <c r="AX48" i="1" s="1"/>
  <c r="AX57" i="1" a="1"/>
  <c r="AX57" i="1" s="1"/>
  <c r="AX49" i="1" a="1"/>
  <c r="AX49" i="1" s="1"/>
  <c r="BA66" i="1" a="1"/>
  <c r="BA66" i="1" s="1"/>
  <c r="BA60" i="1" a="1"/>
  <c r="BA60" i="1" s="1"/>
  <c r="BA46" i="1" a="1"/>
  <c r="BA46" i="1" s="1"/>
  <c r="AX54" i="1" a="1"/>
  <c r="AX54" i="1" s="1"/>
  <c r="BA45" i="1" a="1"/>
  <c r="BA45" i="1" s="1"/>
  <c r="AX31" i="1" a="1"/>
  <c r="AX31" i="1" s="1"/>
  <c r="AX33" i="1" a="1"/>
  <c r="AX33" i="1" s="1"/>
  <c r="AX65" i="1" a="1"/>
  <c r="AX65" i="1" s="1"/>
  <c r="AX45" i="1" a="1"/>
  <c r="AX45" i="1" s="1"/>
  <c r="AX36" i="1" a="1"/>
  <c r="AX36" i="1" s="1"/>
  <c r="AX62" i="1" a="1"/>
  <c r="AX62" i="1" s="1"/>
  <c r="AX74" i="1" a="1"/>
  <c r="AX74" i="1" s="1"/>
  <c r="AX35" i="1" a="1"/>
  <c r="AX35" i="1" s="1"/>
  <c r="AX50" i="1" a="1"/>
  <c r="AX50" i="1" s="1"/>
  <c r="BA53" i="1" a="1"/>
  <c r="BA53" i="1" s="1"/>
  <c r="BA72" i="1" a="1"/>
  <c r="BA72" i="1" s="1"/>
  <c r="BA47" i="1" a="1"/>
  <c r="BA47" i="1" s="1"/>
  <c r="AX66" i="1" a="1"/>
  <c r="AX66" i="1" s="1"/>
  <c r="AX69" i="1" a="1"/>
  <c r="AX69" i="1" s="1"/>
  <c r="AX34" i="1" a="1"/>
  <c r="AX34" i="1" s="1"/>
  <c r="AX75" i="1" a="1"/>
  <c r="AX75" i="1" s="1"/>
  <c r="AH117" i="1"/>
  <c r="AH120" i="1"/>
  <c r="AH128" i="1"/>
  <c r="AH130" i="1"/>
  <c r="AH104" i="1"/>
  <c r="AH126" i="1"/>
  <c r="AH124" i="1"/>
  <c r="AH121" i="1"/>
  <c r="AH131" i="1"/>
  <c r="AH122" i="1"/>
  <c r="AH125" i="1"/>
  <c r="AH138" i="1"/>
  <c r="AH111" i="1"/>
  <c r="AH137" i="1"/>
  <c r="AH119" i="1"/>
  <c r="AH142" i="1"/>
  <c r="AH148" i="1"/>
  <c r="AH129" i="1"/>
  <c r="AH123" i="1"/>
  <c r="AH116" i="1"/>
  <c r="AH103" i="1"/>
  <c r="AH144" i="1"/>
  <c r="AH146" i="1"/>
  <c r="AH114" i="1"/>
  <c r="AH143" i="1"/>
  <c r="AX44" i="1" a="1"/>
  <c r="AX44" i="1" s="1"/>
  <c r="AH149" i="1"/>
  <c r="AH127" i="1"/>
  <c r="AH101" i="1"/>
  <c r="AH140" i="1"/>
  <c r="AH113" i="1"/>
  <c r="AH110" i="1"/>
  <c r="AH102" i="1"/>
  <c r="AH106" i="1"/>
  <c r="AH134" i="1"/>
  <c r="AH132" i="1"/>
  <c r="AH118" i="1"/>
  <c r="AH112" i="1"/>
  <c r="AH109" i="1"/>
  <c r="AH133" i="1"/>
  <c r="AH139" i="1"/>
  <c r="AH147" i="1"/>
  <c r="AH105" i="1"/>
  <c r="AH145" i="1"/>
  <c r="AH150" i="1"/>
  <c r="AH136" i="1"/>
  <c r="AH107" i="1"/>
  <c r="AH135" i="1"/>
  <c r="AH115" i="1"/>
  <c r="AH108" i="1"/>
  <c r="AX46" i="1" a="1"/>
  <c r="AX46" i="1" s="1"/>
  <c r="AX41" i="1" a="1"/>
  <c r="AX41" i="1" s="1"/>
  <c r="AX39" i="1" a="1"/>
  <c r="AX39" i="1" s="1"/>
  <c r="AX63" i="1" a="1"/>
  <c r="AX63" i="1" s="1"/>
  <c r="AX37" i="1" a="1"/>
  <c r="AX37" i="1" s="1"/>
  <c r="BA73" i="1" a="1"/>
  <c r="BA73" i="1" s="1"/>
  <c r="AX73" i="1" a="1"/>
  <c r="AX73" i="1" s="1"/>
  <c r="AX59" i="1" a="1"/>
  <c r="AX59" i="1" s="1"/>
  <c r="BA65" i="1" a="1"/>
  <c r="BA65" i="1" s="1"/>
  <c r="AX40" i="1" a="1"/>
  <c r="AX40" i="1" s="1"/>
  <c r="BA70" i="1" a="1"/>
  <c r="BA70" i="1" s="1"/>
  <c r="AX68" i="1" a="1"/>
  <c r="AX68" i="1" s="1"/>
  <c r="AX52" i="1" a="1"/>
  <c r="AX52" i="1" s="1"/>
  <c r="BA78" i="1" a="1"/>
  <c r="BA78" i="1" s="1"/>
  <c r="AX47" i="1" a="1"/>
  <c r="AX47" i="1" s="1"/>
  <c r="AX38" i="1" a="1"/>
  <c r="AX38" i="1" s="1"/>
  <c r="AX58" i="1" a="1"/>
  <c r="AX58" i="1" s="1"/>
  <c r="AX71" i="1" a="1"/>
  <c r="AX71" i="1" s="1"/>
  <c r="BA76" i="1" a="1"/>
  <c r="BA76" i="1" s="1"/>
  <c r="AX51" i="1" a="1"/>
  <c r="AX51" i="1" s="1"/>
  <c r="AX78" i="1" a="1"/>
  <c r="AX78" i="1" s="1"/>
  <c r="AX60" i="1" a="1"/>
  <c r="AX60" i="1" s="1"/>
  <c r="AX32" i="1" a="1"/>
  <c r="AX32" i="1" s="1"/>
  <c r="BA56" i="1" a="1"/>
  <c r="BA56" i="1" s="1"/>
  <c r="AX53" i="1" a="1"/>
  <c r="AX53" i="1" s="1"/>
  <c r="AX77" i="1" a="1"/>
  <c r="AX77" i="1" s="1"/>
  <c r="BA49" i="1" a="1"/>
  <c r="BA49" i="1" s="1"/>
  <c r="BA69" i="1" a="1"/>
  <c r="BA69" i="1" s="1"/>
  <c r="AX70" i="1" a="1"/>
  <c r="AX70" i="1" s="1"/>
  <c r="AX42" i="1" a="1"/>
  <c r="AX42" i="1" s="1"/>
  <c r="AX56" i="1" a="1"/>
  <c r="AX56" i="1" s="1"/>
  <c r="AX28" i="1" a="1"/>
  <c r="AX28" i="1" s="1"/>
  <c r="AX64" i="1" a="1"/>
  <c r="AX64" i="1" s="1"/>
  <c r="AX76" i="1" a="1"/>
  <c r="AX76" i="1" s="1"/>
  <c r="AX30" i="1" a="1"/>
  <c r="AX30" i="1" s="1"/>
  <c r="AX29" i="1" a="1"/>
  <c r="AX29" i="1" s="1"/>
  <c r="AX67" i="1" a="1"/>
  <c r="AX67" i="1" s="1"/>
  <c r="AX43" i="1" a="1"/>
  <c r="AX43" i="1" s="1"/>
  <c r="BA44" i="1" a="1"/>
  <c r="BA44" i="1" s="1"/>
  <c r="AX72" i="1" a="1"/>
  <c r="AX72" i="1" s="1"/>
  <c r="BA62" i="1" a="1"/>
  <c r="BA62" i="1" s="1"/>
  <c r="BA68" i="1" a="1"/>
  <c r="BA68" i="1" s="1"/>
  <c r="AX55" i="1" a="1"/>
  <c r="AX55" i="1" s="1"/>
  <c r="AX61" i="1" a="1"/>
  <c r="AX61" i="1" s="1"/>
  <c r="AF151" i="1" l="1"/>
  <c r="AG151" i="1"/>
  <c r="B33" i="1" a="1"/>
  <c r="B33" i="1" s="1"/>
  <c r="AZ29" i="1"/>
  <c r="AZ42" i="1"/>
  <c r="BA42" i="1" s="1" a="1"/>
  <c r="BA42" i="1" s="1"/>
  <c r="AZ37" i="1"/>
  <c r="AZ32" i="1"/>
  <c r="AZ67" i="1"/>
  <c r="AZ30" i="1" l="1"/>
  <c r="AZ31" i="1"/>
  <c r="AZ77" i="1"/>
  <c r="BA77" i="1" s="1" a="1"/>
  <c r="BA77" i="1" s="1"/>
  <c r="AZ57" i="1"/>
  <c r="BA57" i="1" s="1" a="1"/>
  <c r="BA57" i="1" s="1"/>
  <c r="AH151" i="1"/>
  <c r="BA32" i="1" a="1"/>
  <c r="BA32" i="1" s="1"/>
  <c r="BA28" i="1" a="1"/>
  <c r="BA28" i="1" s="1"/>
  <c r="BA34" i="1" a="1"/>
  <c r="BA34" i="1" s="1"/>
  <c r="BA35" i="1" a="1"/>
  <c r="BA35" i="1" s="1"/>
  <c r="BA37" i="1" a="1"/>
  <c r="BA37" i="1" s="1"/>
  <c r="BA29" i="1" a="1"/>
  <c r="BA29" i="1" s="1"/>
  <c r="BA36" i="1" a="1"/>
  <c r="BA36" i="1" s="1"/>
  <c r="BA30" i="1" a="1"/>
  <c r="BA30" i="1" s="1"/>
  <c r="BA31" i="1" a="1"/>
  <c r="BA31" i="1" s="1"/>
  <c r="BA33" i="1" a="1"/>
  <c r="BA33" i="1" s="1"/>
  <c r="BA67" i="1" a="1"/>
  <c r="BA6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<sst xmlns="http://schemas.openxmlformats.org/spreadsheetml/2006/main" count="166" uniqueCount="89">
  <si>
    <t xml:space="preserve">
</t>
  </si>
  <si>
    <t>Værdipapirer</t>
  </si>
  <si>
    <t>ETF:</t>
  </si>
  <si>
    <t>Fond:</t>
  </si>
  <si>
    <t>Aktie:</t>
  </si>
  <si>
    <t>iShares Core S&amp;P 500 UCITS</t>
  </si>
  <si>
    <t>Sparindex Globale Aktier KL</t>
  </si>
  <si>
    <t>Tesla, Inc</t>
  </si>
  <si>
    <t>Ticker</t>
  </si>
  <si>
    <t>SXR8</t>
  </si>
  <si>
    <t>SPVIGAKL</t>
  </si>
  <si>
    <t>TSLA</t>
  </si>
  <si>
    <t>Benchmark</t>
  </si>
  <si>
    <t>S&amp;P</t>
  </si>
  <si>
    <t>MSCI ACWI</t>
  </si>
  <si>
    <t>---</t>
  </si>
  <si>
    <t xml:space="preserve"> </t>
  </si>
  <si>
    <t>ÅOP</t>
  </si>
  <si>
    <t>Aktiesparekonto (Saxo Bank) (Tyske ETF'er)</t>
  </si>
  <si>
    <t>Månedsopsparing (Nordnet) (Danske fonde)</t>
  </si>
  <si>
    <t>Udbyttepolitik</t>
  </si>
  <si>
    <t>Akkumulerende</t>
  </si>
  <si>
    <t>Distribuerende</t>
  </si>
  <si>
    <t>Lav Skat</t>
  </si>
  <si>
    <t>Høj Skat</t>
  </si>
  <si>
    <t>Startbeløb:</t>
  </si>
  <si>
    <t>Indskudsloft / Progræssionsgrænse</t>
  </si>
  <si>
    <t>Månedlig indbetaling:</t>
  </si>
  <si>
    <t>Børs</t>
  </si>
  <si>
    <t>Tyske</t>
  </si>
  <si>
    <t>Danske</t>
  </si>
  <si>
    <t>Amerikanske</t>
  </si>
  <si>
    <t>Årligt afkast:</t>
  </si>
  <si>
    <t>Gns. årligt udbytte</t>
  </si>
  <si>
    <t xml:space="preserve">Udbytte: </t>
  </si>
  <si>
    <t>Gns. årligt afkast</t>
  </si>
  <si>
    <t>Købskurtage (% | min.):</t>
  </si>
  <si>
    <t>Salgskurtage (% | min.):</t>
  </si>
  <si>
    <t>Kurtage</t>
  </si>
  <si>
    <t>Saxo Bank:</t>
  </si>
  <si>
    <t>Nordnet:</t>
  </si>
  <si>
    <t>Vekselgebyr (køb):</t>
  </si>
  <si>
    <t>Danske køb</t>
  </si>
  <si>
    <t>Vekselgebyr (salg):</t>
  </si>
  <si>
    <t>Mdl. kurtage:</t>
  </si>
  <si>
    <t>Amerikanske køb</t>
  </si>
  <si>
    <t>ÅOP:</t>
  </si>
  <si>
    <t>Tyske køb (ETF'er)</t>
  </si>
  <si>
    <t>Beskatningstype:</t>
  </si>
  <si>
    <t>Lagerbeskatning</t>
  </si>
  <si>
    <t>Startb. kurtage:</t>
  </si>
  <si>
    <t>Realisationsbeskatning</t>
  </si>
  <si>
    <t>Skat lav:</t>
  </si>
  <si>
    <t>Veksling</t>
  </si>
  <si>
    <t>Skat høj:</t>
  </si>
  <si>
    <t>ASK (auto veksling)</t>
  </si>
  <si>
    <t>Indskudsloft:</t>
  </si>
  <si>
    <t>Progressionsgrænse:</t>
  </si>
  <si>
    <t>Valutakonto</t>
  </si>
  <si>
    <t>Sker kun HVIS man sælger!</t>
  </si>
  <si>
    <t>Tid (år)</t>
  </si>
  <si>
    <t>Investering</t>
  </si>
  <si>
    <t>Investering (i alt)</t>
  </si>
  <si>
    <t>Værdi e. kurtage</t>
  </si>
  <si>
    <t>År Start</t>
  </si>
  <si>
    <t xml:space="preserve">År Slut </t>
  </si>
  <si>
    <t>Skat for året</t>
  </si>
  <si>
    <t>Værdi e. Skat</t>
  </si>
  <si>
    <t>Salgskurtage</t>
  </si>
  <si>
    <t>Værdi e. salg</t>
  </si>
  <si>
    <t>Udbytte</t>
  </si>
  <si>
    <t>Udbytte Skat u. grænse</t>
  </si>
  <si>
    <t>Udbytte Skat o. grænse</t>
  </si>
  <si>
    <t>År Slut</t>
  </si>
  <si>
    <t>Afkast pr. år</t>
  </si>
  <si>
    <t>Afkast i alt</t>
  </si>
  <si>
    <t>Skat u. grænse</t>
  </si>
  <si>
    <t>Skat o. grænse</t>
  </si>
  <si>
    <t>Værdi e. salg og Skat</t>
  </si>
  <si>
    <t>ASK Saxo</t>
  </si>
  <si>
    <t>ASK Nordnet</t>
  </si>
  <si>
    <t>Månedsopsparing</t>
  </si>
  <si>
    <t>Enkelt Aktier Saxo</t>
  </si>
  <si>
    <t>Resultat</t>
  </si>
  <si>
    <t xml:space="preserve">Startbeløb: </t>
  </si>
  <si>
    <t>Mdl. Beløb:</t>
  </si>
  <si>
    <t>År:</t>
  </si>
  <si>
    <t>Aktiesparekonto (Nordnet) (Tyske ETF'er)</t>
  </si>
  <si>
    <t>Enkelt Aktier (Saxo) (Amerikanske aktier)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</si>
</sst>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&quot;kr.&quot;_-;\-* #,##0\ &quot;kr.&quot;_-;_-* &quot;-&quot;\ &quot;kr.&quot;_-;_-@_-"/>
    <numFmt numFmtId="165" formatCode="_-* #,##0.00\ &quot;kr.&quot;_-;\-* #,##0.00\ &quot;kr.&quot;_-;_-* &quot;-&quot;??\ &quot;kr.&quot;_-;_-@_-"/>
    <numFmt numFmtId="166" formatCode="#,##0.00\ &quot;kr.&quot;"/>
    <numFmt numFmtId="167" formatCode="#,##0\ &quot;kr.&quot;"/>
    <numFmt numFmtId="168" formatCode="0.000%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rgb="FF444444"/>
      <name val="Calibri"/>
      <family val="2"/>
      <charset val="1"/>
    </font>
    <font>
      <b/>
      <sz val="16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6" fillId="8" borderId="0" applyNumberFormat="0" applyBorder="0" applyAlignment="0" applyProtection="0"/>
    <xf numFmtId="164" fontId="1" fillId="0" borderId="0" applyFont="0" applyFill="0" applyBorder="0" applyAlignment="0" applyProtection="0"/>
  </cellStyleXfs>
  <cellXfs count="129">
    <xf numFmtId="0" fontId="0" fillId="0" borderId="0" xfId="0"/>
    <xf numFmtId="0" fontId="3" fillId="0" borderId="3" xfId="0" applyFont="1" applyBorder="1"/>
    <xf numFmtId="0" fontId="3" fillId="3" borderId="3" xfId="0" applyFont="1" applyFill="1" applyBorder="1"/>
    <xf numFmtId="0" fontId="3" fillId="4" borderId="3" xfId="0" applyFont="1" applyFill="1" applyBorder="1"/>
    <xf numFmtId="0" fontId="3" fillId="5" borderId="3" xfId="0" applyFont="1" applyFill="1" applyBorder="1"/>
    <xf numFmtId="0" fontId="3" fillId="0" borderId="4" xfId="0" applyFont="1" applyBorder="1"/>
    <xf numFmtId="10" fontId="4" fillId="4" borderId="2" xfId="2" applyNumberFormat="1" applyFont="1" applyFill="1" applyBorder="1" applyAlignment="1">
      <alignment horizontal="left"/>
    </xf>
    <xf numFmtId="166" fontId="0" fillId="0" borderId="0" xfId="0" applyNumberFormat="1"/>
    <xf numFmtId="0" fontId="2" fillId="6" borderId="0" xfId="0" applyFont="1" applyFill="1" applyAlignment="1">
      <alignment horizontal="center"/>
    </xf>
    <xf numFmtId="10" fontId="0" fillId="0" borderId="0" xfId="0" applyNumberFormat="1"/>
    <xf numFmtId="167" fontId="0" fillId="0" borderId="0" xfId="0" applyNumberFormat="1"/>
    <xf numFmtId="167" fontId="4" fillId="4" borderId="15" xfId="1" applyNumberFormat="1" applyFont="1" applyFill="1" applyBorder="1" applyAlignment="1">
      <alignment horizontal="left"/>
    </xf>
    <xf numFmtId="167" fontId="0" fillId="0" borderId="0" xfId="1" applyNumberFormat="1" applyFont="1"/>
    <xf numFmtId="10" fontId="4" fillId="4" borderId="1" xfId="2" applyNumberFormat="1" applyFont="1" applyFill="1" applyBorder="1" applyAlignment="1">
      <alignment horizontal="left"/>
    </xf>
    <xf numFmtId="10" fontId="4" fillId="5" borderId="2" xfId="2" applyNumberFormat="1" applyFont="1" applyFill="1" applyBorder="1" applyAlignment="1">
      <alignment horizontal="left"/>
    </xf>
    <xf numFmtId="2" fontId="0" fillId="0" borderId="0" xfId="0" applyNumberFormat="1"/>
    <xf numFmtId="166" fontId="4" fillId="4" borderId="1" xfId="2" applyNumberFormat="1" applyFont="1" applyFill="1" applyBorder="1" applyAlignment="1">
      <alignment horizontal="left"/>
    </xf>
    <xf numFmtId="10" fontId="4" fillId="5" borderId="2" xfId="2" applyNumberFormat="1" applyFont="1" applyFill="1" applyBorder="1" applyAlignment="1"/>
    <xf numFmtId="10" fontId="4" fillId="5" borderId="1" xfId="2" applyNumberFormat="1" applyFont="1" applyFill="1" applyBorder="1" applyAlignment="1"/>
    <xf numFmtId="166" fontId="4" fillId="5" borderId="1" xfId="2" applyNumberFormat="1" applyFont="1" applyFill="1" applyBorder="1" applyAlignment="1">
      <alignment horizontal="left"/>
    </xf>
    <xf numFmtId="10" fontId="0" fillId="0" borderId="0" xfId="0" applyNumberFormat="1" applyAlignment="1">
      <alignment horizontal="left"/>
    </xf>
    <xf numFmtId="167" fontId="7" fillId="0" borderId="0" xfId="0" applyNumberFormat="1" applyFont="1"/>
    <xf numFmtId="0" fontId="10" fillId="0" borderId="0" xfId="0" applyFont="1" applyAlignment="1">
      <alignment horizontal="center" vertical="center"/>
    </xf>
    <xf numFmtId="0" fontId="12" fillId="0" borderId="0" xfId="0" applyFont="1"/>
    <xf numFmtId="9" fontId="0" fillId="0" borderId="0" xfId="2" applyFont="1"/>
    <xf numFmtId="0" fontId="2" fillId="0" borderId="0" xfId="0" applyFont="1" applyAlignment="1">
      <alignment horizontal="center"/>
    </xf>
    <xf numFmtId="0" fontId="3" fillId="0" borderId="0" xfId="0" applyFont="1"/>
    <xf numFmtId="10" fontId="4" fillId="0" borderId="0" xfId="2" applyNumberFormat="1" applyFont="1" applyFill="1" applyBorder="1" applyAlignment="1">
      <alignment horizontal="left"/>
    </xf>
    <xf numFmtId="167" fontId="4" fillId="0" borderId="0" xfId="1" applyNumberFormat="1" applyFont="1" applyFill="1" applyBorder="1" applyAlignment="1">
      <alignment horizontal="left"/>
    </xf>
    <xf numFmtId="166" fontId="4" fillId="0" borderId="0" xfId="2" applyNumberFormat="1" applyFont="1" applyFill="1" applyBorder="1" applyAlignment="1">
      <alignment horizontal="left"/>
    </xf>
    <xf numFmtId="10" fontId="4" fillId="0" borderId="0" xfId="2" applyNumberFormat="1" applyFont="1" applyFill="1" applyBorder="1" applyAlignment="1"/>
    <xf numFmtId="0" fontId="2" fillId="0" borderId="0" xfId="0" applyFont="1" applyAlignment="1">
      <alignment horizontal="center" vertical="center"/>
    </xf>
    <xf numFmtId="167" fontId="4" fillId="0" borderId="0" xfId="2" applyNumberFormat="1" applyFont="1" applyFill="1" applyBorder="1" applyAlignment="1">
      <alignment horizontal="left"/>
    </xf>
    <xf numFmtId="167" fontId="0" fillId="0" borderId="0" xfId="0" applyNumberFormat="1" applyAlignment="1">
      <alignment horizontal="right"/>
    </xf>
    <xf numFmtId="0" fontId="8" fillId="0" borderId="0" xfId="0" applyFont="1" applyAlignment="1">
      <alignment horizontal="center"/>
    </xf>
    <xf numFmtId="168" fontId="0" fillId="0" borderId="0" xfId="0" applyNumberFormat="1"/>
    <xf numFmtId="0" fontId="2" fillId="0" borderId="18" xfId="0" applyFont="1" applyBorder="1"/>
    <xf numFmtId="0" fontId="11" fillId="0" borderId="19" xfId="0" applyFont="1" applyBorder="1"/>
    <xf numFmtId="0" fontId="11" fillId="0" borderId="20" xfId="0" applyFont="1" applyBorder="1"/>
    <xf numFmtId="167" fontId="11" fillId="0" borderId="23" xfId="0" applyNumberFormat="1" applyFont="1" applyBorder="1"/>
    <xf numFmtId="167" fontId="11" fillId="0" borderId="24" xfId="0" applyNumberFormat="1" applyFont="1" applyBorder="1"/>
    <xf numFmtId="0" fontId="7" fillId="0" borderId="19" xfId="0" applyFont="1" applyBorder="1"/>
    <xf numFmtId="0" fontId="7" fillId="0" borderId="20" xfId="0" applyFont="1" applyBorder="1"/>
    <xf numFmtId="0" fontId="7" fillId="0" borderId="18" xfId="0" applyFont="1" applyBorder="1"/>
    <xf numFmtId="167" fontId="11" fillId="0" borderId="0" xfId="0" applyNumberFormat="1" applyFont="1"/>
    <xf numFmtId="0" fontId="10" fillId="0" borderId="25" xfId="0" applyFont="1" applyBorder="1" applyAlignment="1">
      <alignment horizontal="right" vertical="center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0" fontId="9" fillId="0" borderId="27" xfId="0" applyFont="1" applyBorder="1"/>
    <xf numFmtId="0" fontId="9" fillId="0" borderId="26" xfId="0" applyFont="1" applyBorder="1"/>
    <xf numFmtId="0" fontId="9" fillId="0" borderId="28" xfId="0" applyFont="1" applyBorder="1"/>
    <xf numFmtId="0" fontId="9" fillId="0" borderId="22" xfId="0" applyFont="1" applyBorder="1"/>
    <xf numFmtId="0" fontId="9" fillId="0" borderId="29" xfId="0" applyFont="1" applyBorder="1"/>
    <xf numFmtId="0" fontId="9" fillId="0" borderId="30" xfId="0" applyFont="1" applyBorder="1"/>
    <xf numFmtId="0" fontId="9" fillId="0" borderId="31" xfId="0" applyFont="1" applyBorder="1"/>
    <xf numFmtId="0" fontId="0" fillId="0" borderId="33" xfId="0" quotePrefix="1" applyBorder="1" applyAlignment="1">
      <alignment horizontal="left"/>
    </xf>
    <xf numFmtId="9" fontId="0" fillId="0" borderId="33" xfId="0" applyNumberFormat="1" applyBorder="1" applyAlignment="1">
      <alignment horizontal="left"/>
    </xf>
    <xf numFmtId="0" fontId="0" fillId="0" borderId="33" xfId="0" applyBorder="1" applyAlignment="1">
      <alignment horizontal="left"/>
    </xf>
    <xf numFmtId="10" fontId="0" fillId="0" borderId="34" xfId="0" applyNumberFormat="1" applyBorder="1" applyAlignment="1">
      <alignment horizontal="left"/>
    </xf>
    <xf numFmtId="10" fontId="0" fillId="0" borderId="35" xfId="0" applyNumberFormat="1" applyBorder="1" applyAlignment="1">
      <alignment horizontal="left"/>
    </xf>
    <xf numFmtId="0" fontId="2" fillId="0" borderId="36" xfId="0" applyFont="1" applyBorder="1" applyAlignment="1">
      <alignment horizontal="center"/>
    </xf>
    <xf numFmtId="0" fontId="0" fillId="0" borderId="0" xfId="0" applyAlignment="1">
      <alignment horizontal="center"/>
    </xf>
    <xf numFmtId="10" fontId="5" fillId="7" borderId="0" xfId="3" applyNumberFormat="1" applyBorder="1"/>
    <xf numFmtId="166" fontId="5" fillId="7" borderId="0" xfId="3" applyNumberFormat="1" applyBorder="1" applyAlignment="1">
      <alignment horizontal="left"/>
    </xf>
    <xf numFmtId="10" fontId="6" fillId="8" borderId="0" xfId="4" applyNumberFormat="1" applyBorder="1"/>
    <xf numFmtId="10" fontId="0" fillId="0" borderId="0" xfId="2" applyNumberFormat="1" applyFont="1" applyBorder="1"/>
    <xf numFmtId="166" fontId="6" fillId="8" borderId="33" xfId="4" applyNumberFormat="1" applyBorder="1" applyAlignment="1">
      <alignment horizontal="left"/>
    </xf>
    <xf numFmtId="0" fontId="0" fillId="0" borderId="32" xfId="0" applyBorder="1"/>
    <xf numFmtId="0" fontId="0" fillId="0" borderId="33" xfId="0" applyBorder="1"/>
    <xf numFmtId="0" fontId="2" fillId="0" borderId="19" xfId="0" applyFont="1" applyBorder="1" applyAlignment="1">
      <alignment horizontal="center"/>
    </xf>
    <xf numFmtId="0" fontId="8" fillId="0" borderId="29" xfId="0" applyFont="1" applyBorder="1" applyAlignment="1">
      <alignment horizontal="left"/>
    </xf>
    <xf numFmtId="0" fontId="8" fillId="0" borderId="30" xfId="0" applyFont="1" applyBorder="1" applyAlignment="1">
      <alignment horizontal="left"/>
    </xf>
    <xf numFmtId="0" fontId="8" fillId="0" borderId="31" xfId="0" applyFont="1" applyBorder="1" applyAlignment="1">
      <alignment horizontal="left"/>
    </xf>
    <xf numFmtId="167" fontId="13" fillId="0" borderId="0" xfId="0" quotePrefix="1" applyNumberFormat="1" applyFont="1"/>
    <xf numFmtId="167" fontId="13" fillId="0" borderId="0" xfId="0" applyNumberFormat="1" applyFont="1"/>
    <xf numFmtId="0" fontId="0" fillId="0" borderId="0" xfId="0" applyAlignment="1">
      <alignment wrapText="1"/>
    </xf>
    <xf numFmtId="0" fontId="0" fillId="0" borderId="37" xfId="0" applyBorder="1" applyAlignment="1">
      <alignment horizontal="right"/>
    </xf>
    <xf numFmtId="0" fontId="0" fillId="0" borderId="38" xfId="0" applyBorder="1"/>
    <xf numFmtId="0" fontId="0" fillId="0" borderId="40" xfId="0" applyBorder="1"/>
    <xf numFmtId="0" fontId="0" fillId="0" borderId="39" xfId="0" applyBorder="1"/>
    <xf numFmtId="167" fontId="13" fillId="0" borderId="33" xfId="0" quotePrefix="1" applyNumberFormat="1" applyFont="1" applyBorder="1"/>
    <xf numFmtId="167" fontId="4" fillId="0" borderId="33" xfId="2" applyNumberFormat="1" applyFont="1" applyFill="1" applyBorder="1" applyAlignment="1">
      <alignment horizontal="left"/>
    </xf>
    <xf numFmtId="164" fontId="7" fillId="0" borderId="26" xfId="5" applyFont="1" applyBorder="1"/>
    <xf numFmtId="164" fontId="7" fillId="0" borderId="21" xfId="5" applyFont="1" applyBorder="1"/>
    <xf numFmtId="164" fontId="7" fillId="0" borderId="22" xfId="5" applyFont="1" applyBorder="1"/>
    <xf numFmtId="167" fontId="13" fillId="0" borderId="1" xfId="0" quotePrefix="1" applyNumberFormat="1" applyFon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167" fontId="0" fillId="0" borderId="42" xfId="0" applyNumberFormat="1" applyBorder="1"/>
    <xf numFmtId="167" fontId="0" fillId="0" borderId="1" xfId="0" applyNumberFormat="1" applyBorder="1"/>
    <xf numFmtId="167" fontId="0" fillId="0" borderId="46" xfId="0" applyNumberFormat="1" applyBorder="1"/>
    <xf numFmtId="167" fontId="0" fillId="0" borderId="15" xfId="0" applyNumberFormat="1" applyBorder="1"/>
    <xf numFmtId="0" fontId="0" fillId="0" borderId="0" xfId="0" quotePrefix="1"/>
    <xf numFmtId="10" fontId="6" fillId="8" borderId="20" xfId="4" applyNumberFormat="1" applyBorder="1" applyAlignment="1">
      <alignment horizontal="center"/>
    </xf>
    <xf numFmtId="10" fontId="6" fillId="8" borderId="0" xfId="4" applyNumberFormat="1" applyBorder="1" applyAlignment="1">
      <alignment horizontal="center"/>
    </xf>
    <xf numFmtId="10" fontId="5" fillId="7" borderId="0" xfId="3" applyNumberFormat="1" applyBorder="1" applyAlignment="1">
      <alignment horizontal="center"/>
    </xf>
    <xf numFmtId="10" fontId="5" fillId="7" borderId="33" xfId="3" applyNumberFormat="1" applyBorder="1" applyAlignment="1">
      <alignment horizontal="center"/>
    </xf>
    <xf numFmtId="10" fontId="6" fillId="8" borderId="41" xfId="4" applyNumberFormat="1" applyBorder="1" applyAlignment="1">
      <alignment horizontal="center"/>
    </xf>
    <xf numFmtId="10" fontId="6" fillId="8" borderId="34" xfId="4" applyNumberFormat="1" applyBorder="1" applyAlignment="1">
      <alignment horizontal="center"/>
    </xf>
    <xf numFmtId="168" fontId="5" fillId="7" borderId="34" xfId="3" applyNumberFormat="1" applyBorder="1" applyAlignment="1">
      <alignment horizontal="center"/>
    </xf>
    <xf numFmtId="168" fontId="5" fillId="7" borderId="35" xfId="3" applyNumberFormat="1" applyBorder="1" applyAlignment="1">
      <alignment horizont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167" fontId="4" fillId="0" borderId="13" xfId="1" applyNumberFormat="1" applyFont="1" applyBorder="1" applyAlignment="1">
      <alignment horizontal="left"/>
    </xf>
    <xf numFmtId="167" fontId="4" fillId="0" borderId="14" xfId="1" applyNumberFormat="1" applyFont="1" applyBorder="1" applyAlignment="1">
      <alignment horizontal="left"/>
    </xf>
    <xf numFmtId="167" fontId="4" fillId="0" borderId="2" xfId="1" applyNumberFormat="1" applyFont="1" applyBorder="1" applyAlignment="1">
      <alignment horizontal="left"/>
    </xf>
    <xf numFmtId="167" fontId="4" fillId="0" borderId="1" xfId="1" applyNumberFormat="1" applyFont="1" applyBorder="1" applyAlignment="1">
      <alignment horizontal="left"/>
    </xf>
    <xf numFmtId="10" fontId="4" fillId="3" borderId="2" xfId="2" applyNumberFormat="1" applyFont="1" applyFill="1" applyBorder="1" applyAlignment="1">
      <alignment horizontal="left"/>
    </xf>
    <xf numFmtId="10" fontId="4" fillId="3" borderId="1" xfId="2" applyNumberFormat="1" applyFont="1" applyFill="1" applyBorder="1" applyAlignment="1">
      <alignment horizontal="left"/>
    </xf>
    <xf numFmtId="167" fontId="4" fillId="5" borderId="16" xfId="2" applyNumberFormat="1" applyFont="1" applyFill="1" applyBorder="1" applyAlignment="1">
      <alignment horizontal="left"/>
    </xf>
    <xf numFmtId="167" fontId="4" fillId="5" borderId="17" xfId="2" applyNumberFormat="1" applyFont="1" applyFill="1" applyBorder="1" applyAlignment="1">
      <alignment horizontal="left"/>
    </xf>
    <xf numFmtId="0" fontId="14" fillId="6" borderId="0" xfId="0" applyFont="1" applyFill="1" applyAlignment="1">
      <alignment horizontal="center"/>
    </xf>
    <xf numFmtId="10" fontId="4" fillId="5" borderId="2" xfId="2" applyNumberFormat="1" applyFont="1" applyFill="1" applyBorder="1" applyAlignment="1">
      <alignment horizontal="left"/>
    </xf>
    <xf numFmtId="10" fontId="4" fillId="5" borderId="1" xfId="2" applyNumberFormat="1" applyFont="1" applyFill="1" applyBorder="1" applyAlignment="1">
      <alignment horizontal="left"/>
    </xf>
    <xf numFmtId="10" fontId="4" fillId="4" borderId="2" xfId="2" applyNumberFormat="1" applyFont="1" applyFill="1" applyBorder="1" applyAlignment="1">
      <alignment horizontal="left"/>
    </xf>
    <xf numFmtId="10" fontId="4" fillId="4" borderId="1" xfId="2" applyNumberFormat="1" applyFont="1" applyFill="1" applyBorder="1" applyAlignment="1">
      <alignment horizontal="left"/>
    </xf>
  </cellXfs>
  <cellStyles count="6">
    <cellStyle name="Bad" xfId="4" builtinId="27"/>
    <cellStyle name="Currency" xfId="1" builtinId="4"/>
    <cellStyle name="Currency [0]" xfId="5" builtinId="7"/>
    <cellStyle name="Good" xfId="3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400" b="1"/>
              <a:t>Værdi efter salg ved det angivne år!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fld id="{FE0A627C-8F38-4225-8502-9D94CF47CA05}" type="VALUE">
                      <a:rPr lang="en-US" sz="1800"/>
                      <a:pPr/>
                      <a:t>[]</a:t>
                    </a:fld>
                    <a:endParaRPr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A50-4D8B-9A41-81BFDD9373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DiverseKontoer!$A$29:$A$32</c:f>
              <c:strCache>
                <c:ptCount val="4"/>
                <c:pt idx="0">
                  <c:v>Investering (i alt)</c:v>
                </c:pt>
                <c:pt idx="1">
                  <c:v>Aktiesparekonto (Saxo Bank) (Tyske ETF'er)</c:v>
                </c:pt>
                <c:pt idx="2">
                  <c:v>Aktiesparekonto (Nordnet) (Tyske ETF'er)</c:v>
                </c:pt>
                <c:pt idx="3">
                  <c:v>Månedsopsparing (Nordnet) (Danske fonde)</c:v>
                </c:pt>
              </c:strCache>
            </c:strRef>
          </c:cat>
          <c:val>
            <c:numRef>
              <c:f>DiverseKontoer!$B$29:$B$32</c:f>
              <c:numCache>
                <c:formatCode>_-* #,##0\ "kr."_-;\-* #,##0\ "kr."_-;_-* "-"\ "kr."_-;_-@_-</c:formatCode>
                <c:ptCount val="4"/>
                <c:pt idx="0">
                  <c:v>184864.78177289999</c:v>
                </c:pt>
                <c:pt idx="1">
                  <c:v>214512.86532751741</c:v>
                </c:pt>
                <c:pt idx="2">
                  <c:v>213321.03301090258</c:v>
                </c:pt>
                <c:pt idx="3">
                  <c:v>214887.99720728584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2-404C-98A1-D84EABFA0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9627552"/>
        <c:axId val="709631160"/>
      </c:barChart>
      <c:catAx>
        <c:axId val="70962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1160"/>
        <c:crosses val="autoZero"/>
        <c:auto val="1"/>
        <c:lblAlgn val="ctr"/>
        <c:lblOffset val="100"/>
        <c:noMultiLvlLbl val="0"/>
      </c:catAx>
      <c:valAx>
        <c:axId val="70963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&quot;kr.&quot;_-;\-* #,##0\ &quot;kr.&quot;_-;_-* &quot;-&quot;\ &quot;kr.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2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400" b="1"/>
              <a:t>Moneys over År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Indskud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[0]!Indskud</c:f>
              <c:numCache>
                <c:formatCode>#,##0\ "kr."</c:formatCode>
                <c:ptCount val="3"/>
                <c:pt idx="0">
                  <c:v>0</c:v>
                </c:pt>
                <c:pt idx="1">
                  <c:v>92263.742100000003</c:v>
                </c:pt>
                <c:pt idx="2">
                  <c:v>184864.78177289999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1C-4229-99FC-BD3666328F34}"/>
            </c:ext>
          </c:extLst>
        </c:ser>
        <c:ser>
          <c:idx val="1"/>
          <c:order val="1"/>
          <c:tx>
            <c:v>ASK Saxo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[0]!ASK_Saxo</c:f>
              <c:numCache>
                <c:formatCode>#,##0\ "kr."</c:formatCode>
                <c:ptCount val="3"/>
                <c:pt idx="0">
                  <c:v>0</c:v>
                </c:pt>
                <c:pt idx="1">
                  <c:v>100422.3879</c:v>
                </c:pt>
                <c:pt idx="2">
                  <c:v>214512.86532751741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3F-4E86-859C-88BC6308A33D}"/>
            </c:ext>
          </c:extLst>
        </c:ser>
        <c:ser>
          <c:idx val="2"/>
          <c:order val="2"/>
          <c:tx>
            <c:strRef>
              <c:f>DiverseKontoer!$AS$27</c:f>
              <c:strCache>
                <c:ptCount val="1"/>
                <c:pt idx="0">
                  <c:v>ASK Nordnet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[0]!ASK_Nordnet</c:f>
              <c:numCache>
                <c:formatCode>#,##0\ "kr."</c:formatCode>
                <c:ptCount val="3"/>
                <c:pt idx="0">
                  <c:v>0</c:v>
                </c:pt>
                <c:pt idx="1">
                  <c:v>99663.910650000005</c:v>
                </c:pt>
                <c:pt idx="2">
                  <c:v>213321.03301090258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34-4353-83C2-4E5E9D2C09E1}"/>
            </c:ext>
          </c:extLst>
        </c:ser>
        <c:ser>
          <c:idx val="0"/>
          <c:order val="3"/>
          <c:tx>
            <c:v>Månedsopsparing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[0]!Years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[0]!Månedsopsparing</c:f>
              <c:numCache>
                <c:formatCode>#,##0\ "kr."</c:formatCode>
                <c:ptCount val="3"/>
                <c:pt idx="0">
                  <c:v>0</c:v>
                </c:pt>
                <c:pt idx="1">
                  <c:v>104396.42418615</c:v>
                </c:pt>
                <c:pt idx="2">
                  <c:v>214887.99720728584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C-4229-99FC-BD3666328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339503"/>
        <c:axId val="357339919"/>
      </c:lineChart>
      <c:catAx>
        <c:axId val="3573395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339919"/>
        <c:crosses val="autoZero"/>
        <c:auto val="1"/>
        <c:lblAlgn val="ctr"/>
        <c:lblOffset val="100"/>
        <c:noMultiLvlLbl val="0"/>
      </c:catAx>
      <c:valAx>
        <c:axId val="35733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kr.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339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78921</xdr:colOff>
      <xdr:row>33</xdr:row>
      <xdr:rowOff>178253</xdr:rowOff>
    </xdr:from>
    <xdr:to>
      <xdr:col>5</xdr:col>
      <xdr:colOff>1983442</xdr:colOff>
      <xdr:row>60</xdr:row>
      <xdr:rowOff>163284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DF4C57-326E-4208-92B1-78F4DE050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96612</xdr:colOff>
      <xdr:row>61</xdr:row>
      <xdr:rowOff>96610</xdr:rowOff>
    </xdr:from>
    <xdr:to>
      <xdr:col>5</xdr:col>
      <xdr:colOff>1983442</xdr:colOff>
      <xdr:row>91</xdr:row>
      <xdr:rowOff>217715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8B97539-651F-4E36-81FB-913A675579AA}"/>
            </a:ext>
            <a:ext uri="{147F2762-F138-4A5C-976F-8EAC2B608ADB}">
              <a16:predDERef xmlns:a16="http://schemas.microsoft.com/office/drawing/2014/main" pred="{C4DF4C57-326E-4208-92B1-78F4DE050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D6885-C363-4451-A008-A6465922AF08}">
  <sheetPr codeName="Sheet1"/>
  <dimension ref="A2:BG151"/>
  <sheetViews>
    <sheetView tabSelected="1" topLeftCell="B13" zoomScale="85" zoomScaleNormal="85" workbookViewId="0">
      <selection activeCell="H31" sqref="H31"/>
    </sheetView>
  </sheetViews>
  <sheetFormatPr defaultRowHeight="15"/>
  <cols>
    <col min="1" max="1" width="56.42578125" customWidth="1"/>
    <col min="2" max="2" width="36.28515625" bestFit="1" customWidth="1"/>
    <col min="3" max="3" width="36.42578125" bestFit="1" customWidth="1"/>
    <col min="4" max="4" width="32.42578125" customWidth="1"/>
    <col min="5" max="5" width="29" customWidth="1"/>
    <col min="6" max="6" width="36.7109375" customWidth="1"/>
    <col min="7" max="7" width="24.140625" bestFit="1" customWidth="1"/>
    <col min="8" max="8" width="20.140625" customWidth="1"/>
    <col min="9" max="9" width="25" bestFit="1" customWidth="1"/>
    <col min="10" max="10" width="25.5703125" bestFit="1" customWidth="1"/>
    <col min="11" max="11" width="14.5703125" bestFit="1" customWidth="1"/>
    <col min="12" max="12" width="14.7109375" bestFit="1" customWidth="1"/>
    <col min="13" max="13" width="19.28515625" bestFit="1" customWidth="1"/>
    <col min="14" max="14" width="20.7109375" bestFit="1" customWidth="1"/>
    <col min="15" max="15" width="19.7109375" bestFit="1" customWidth="1"/>
    <col min="16" max="16" width="20" bestFit="1" customWidth="1"/>
    <col min="17" max="17" width="28.28515625" customWidth="1"/>
    <col min="18" max="18" width="26.7109375" customWidth="1"/>
    <col min="19" max="19" width="36.42578125" customWidth="1"/>
    <col min="20" max="20" width="25.42578125" customWidth="1"/>
    <col min="21" max="21" width="24.140625" bestFit="1" customWidth="1"/>
    <col min="22" max="22" width="23.140625" customWidth="1"/>
    <col min="23" max="23" width="24.7109375" bestFit="1" customWidth="1"/>
    <col min="24" max="24" width="17.28515625" customWidth="1"/>
    <col min="25" max="25" width="15.5703125" customWidth="1"/>
    <col min="26" max="27" width="34.7109375" bestFit="1" customWidth="1"/>
    <col min="28" max="28" width="17.5703125" customWidth="1"/>
    <col min="29" max="29" width="18.5703125" bestFit="1" customWidth="1"/>
    <col min="30" max="30" width="16.5703125" bestFit="1" customWidth="1"/>
    <col min="31" max="31" width="19.5703125" bestFit="1" customWidth="1"/>
    <col min="32" max="33" width="22.28515625" bestFit="1" customWidth="1"/>
    <col min="34" max="34" width="30.85546875" bestFit="1" customWidth="1"/>
    <col min="35" max="35" width="20" bestFit="1" customWidth="1"/>
    <col min="36" max="36" width="21.42578125" customWidth="1"/>
    <col min="37" max="38" width="27.28515625" customWidth="1"/>
    <col min="39" max="39" width="21.85546875" customWidth="1"/>
    <col min="40" max="40" width="24.7109375" bestFit="1" customWidth="1"/>
    <col min="41" max="41" width="26.7109375" customWidth="1"/>
    <col min="42" max="42" width="19.140625" bestFit="1" customWidth="1"/>
    <col min="43" max="43" width="27.85546875" customWidth="1"/>
    <col min="44" max="44" width="26.5703125" bestFit="1" customWidth="1"/>
    <col min="45" max="47" width="26.5703125" customWidth="1"/>
    <col min="48" max="48" width="23.7109375" customWidth="1"/>
    <col min="49" max="49" width="21.7109375" customWidth="1"/>
    <col min="50" max="51" width="33.42578125" bestFit="1" customWidth="1"/>
    <col min="52" max="52" width="36.28515625" customWidth="1"/>
    <col min="53" max="53" width="19.5703125" customWidth="1"/>
    <col min="54" max="54" width="16.7109375" customWidth="1"/>
    <col min="55" max="55" width="16.85546875" customWidth="1"/>
    <col min="56" max="57" width="11.85546875" bestFit="1" customWidth="1"/>
    <col min="58" max="58" width="17.7109375" customWidth="1"/>
  </cols>
  <sheetData>
    <row r="2" spans="1:50" ht="26.25">
      <c r="D2" s="44"/>
      <c r="F2" s="25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H2" s="25"/>
      <c r="AI2" s="25"/>
      <c r="AJ2" s="25"/>
      <c r="AK2" s="25"/>
      <c r="AL2" s="25"/>
    </row>
    <row r="3" spans="1:50" ht="26.25">
      <c r="D3" s="44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H3" s="34"/>
      <c r="AI3" s="34"/>
      <c r="AJ3" s="34"/>
      <c r="AK3" s="34"/>
      <c r="AL3" s="34"/>
    </row>
    <row r="4" spans="1:50" ht="26.25">
      <c r="D4" s="22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H4" s="35"/>
      <c r="AI4" s="35"/>
      <c r="AJ4" s="35"/>
      <c r="AK4" s="35"/>
      <c r="AL4" s="35"/>
    </row>
    <row r="5" spans="1:50" ht="30.75" thickBot="1">
      <c r="B5" s="75" t="s">
        <v>0</v>
      </c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H5" s="35"/>
      <c r="AI5" s="35"/>
      <c r="AJ5" s="35"/>
      <c r="AK5" s="35"/>
      <c r="AL5" s="35"/>
    </row>
    <row r="6" spans="1:50" ht="21">
      <c r="A6" s="102" t="s">
        <v>1</v>
      </c>
      <c r="B6" s="48" t="s">
        <v>2</v>
      </c>
      <c r="C6" s="48" t="s">
        <v>3</v>
      </c>
      <c r="D6" s="49" t="s">
        <v>4</v>
      </c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</row>
    <row r="7" spans="1:50" ht="21.75" thickBot="1">
      <c r="A7" s="103"/>
      <c r="B7" s="50" t="s">
        <v>5</v>
      </c>
      <c r="C7" s="50" t="s">
        <v>6</v>
      </c>
      <c r="D7" s="51" t="s">
        <v>7</v>
      </c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</row>
    <row r="8" spans="1:50" ht="21">
      <c r="A8" s="52" t="s">
        <v>8</v>
      </c>
      <c r="B8" s="46" t="s">
        <v>9</v>
      </c>
      <c r="C8" s="46" t="s">
        <v>10</v>
      </c>
      <c r="D8" s="57" t="s">
        <v>11</v>
      </c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F8" s="7"/>
      <c r="AG8" s="7"/>
      <c r="AH8" s="7"/>
      <c r="AI8" s="7"/>
      <c r="AJ8" s="7"/>
      <c r="AK8" s="7"/>
      <c r="AL8" s="7"/>
    </row>
    <row r="9" spans="1:50" ht="18.75" customHeight="1" thickBot="1">
      <c r="A9" s="53" t="s">
        <v>12</v>
      </c>
      <c r="B9" s="46" t="s">
        <v>13</v>
      </c>
      <c r="C9" s="46" t="s">
        <v>14</v>
      </c>
      <c r="D9" s="55" t="s">
        <v>15</v>
      </c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N9" s="31"/>
      <c r="AO9" s="31"/>
      <c r="AP9" s="31"/>
      <c r="AX9" t="s">
        <v>16</v>
      </c>
    </row>
    <row r="10" spans="1:50" ht="18.75" customHeight="1">
      <c r="A10" s="53" t="s">
        <v>17</v>
      </c>
      <c r="B10" s="20">
        <v>1E-3</v>
      </c>
      <c r="C10" s="20">
        <v>5.0000000000000001E-3</v>
      </c>
      <c r="D10" s="56">
        <v>0</v>
      </c>
      <c r="G10" s="104" t="s">
        <v>18</v>
      </c>
      <c r="H10" s="105"/>
      <c r="I10" s="106"/>
      <c r="J10" s="15"/>
      <c r="K10" s="10"/>
      <c r="L10" s="10"/>
      <c r="M10" s="10"/>
      <c r="N10" s="10"/>
      <c r="O10" s="10"/>
      <c r="P10" s="10"/>
      <c r="U10" s="104" t="s">
        <v>19</v>
      </c>
      <c r="V10" s="105"/>
      <c r="W10" s="106"/>
      <c r="AN10" s="31"/>
      <c r="AO10" s="31"/>
      <c r="AP10" s="31"/>
    </row>
    <row r="11" spans="1:50" ht="19.5" customHeight="1">
      <c r="A11" s="53" t="s">
        <v>20</v>
      </c>
      <c r="B11" s="46" t="s">
        <v>21</v>
      </c>
      <c r="C11" s="46" t="s">
        <v>22</v>
      </c>
      <c r="D11" s="57" t="s">
        <v>22</v>
      </c>
      <c r="G11" s="107"/>
      <c r="H11" s="108"/>
      <c r="I11" s="109"/>
      <c r="K11" s="7"/>
      <c r="L11" s="7"/>
      <c r="M11" s="7"/>
      <c r="N11" s="7"/>
      <c r="O11" s="7"/>
      <c r="P11" s="7"/>
      <c r="U11" s="107"/>
      <c r="V11" s="108"/>
      <c r="W11" s="109"/>
      <c r="AN11" s="31"/>
      <c r="AO11" s="31"/>
      <c r="AP11" s="31"/>
    </row>
    <row r="12" spans="1:50" ht="21.75" thickBot="1">
      <c r="A12" s="53" t="s">
        <v>23</v>
      </c>
      <c r="B12" s="47">
        <v>0.17</v>
      </c>
      <c r="C12" s="47">
        <v>0.27</v>
      </c>
      <c r="D12" s="56">
        <v>0.27</v>
      </c>
      <c r="G12" s="110"/>
      <c r="H12" s="111"/>
      <c r="I12" s="112"/>
      <c r="U12" s="110"/>
      <c r="V12" s="111"/>
      <c r="W12" s="112"/>
      <c r="Y12" s="9"/>
      <c r="Z12" s="9"/>
      <c r="AN12" s="26"/>
      <c r="AO12" s="28"/>
      <c r="AP12" s="28"/>
    </row>
    <row r="13" spans="1:50" ht="21">
      <c r="A13" s="53" t="s">
        <v>24</v>
      </c>
      <c r="B13" s="47">
        <v>0.17</v>
      </c>
      <c r="C13" s="47">
        <v>0.42</v>
      </c>
      <c r="D13" s="56">
        <v>0.42</v>
      </c>
      <c r="G13" s="5" t="s">
        <v>25</v>
      </c>
      <c r="H13" s="116">
        <f>$E$29</f>
        <v>0</v>
      </c>
      <c r="I13" s="117"/>
      <c r="J13" s="7"/>
      <c r="K13" s="7"/>
      <c r="L13" s="7"/>
      <c r="M13" s="7"/>
      <c r="N13" s="7"/>
      <c r="O13" s="7"/>
      <c r="P13" s="7"/>
      <c r="U13" s="5" t="s">
        <v>25</v>
      </c>
      <c r="V13" s="116">
        <f>$E$29</f>
        <v>0</v>
      </c>
      <c r="W13" s="117"/>
      <c r="Z13" s="9"/>
      <c r="AN13" s="26"/>
      <c r="AO13" s="28"/>
      <c r="AP13" s="28"/>
    </row>
    <row r="14" spans="1:50" ht="21">
      <c r="A14" s="53" t="s">
        <v>26</v>
      </c>
      <c r="B14" s="32">
        <v>105600</v>
      </c>
      <c r="C14" s="32">
        <v>56500</v>
      </c>
      <c r="D14" s="81">
        <v>56500</v>
      </c>
      <c r="G14" s="1" t="s">
        <v>27</v>
      </c>
      <c r="H14" s="118">
        <f>$E$30</f>
        <v>7500</v>
      </c>
      <c r="I14" s="119"/>
      <c r="J14" s="7"/>
      <c r="U14" s="1" t="s">
        <v>27</v>
      </c>
      <c r="V14" s="118">
        <f>$E$30</f>
        <v>7500</v>
      </c>
      <c r="W14" s="119"/>
      <c r="X14" s="7"/>
      <c r="Y14" s="24"/>
      <c r="Z14" s="24"/>
      <c r="AN14" s="26"/>
      <c r="AO14" s="27"/>
      <c r="AP14" s="27"/>
    </row>
    <row r="15" spans="1:50" ht="21">
      <c r="A15" s="53" t="s">
        <v>28</v>
      </c>
      <c r="B15" s="46" t="s">
        <v>29</v>
      </c>
      <c r="C15" s="46" t="s">
        <v>30</v>
      </c>
      <c r="D15" s="57" t="s">
        <v>31</v>
      </c>
      <c r="G15" s="2" t="s">
        <v>32</v>
      </c>
      <c r="H15" s="120">
        <f>$B$17</f>
        <v>0.15</v>
      </c>
      <c r="I15" s="121"/>
      <c r="J15" s="7"/>
      <c r="U15" s="2" t="s">
        <v>32</v>
      </c>
      <c r="V15" s="120">
        <f>$C$17</f>
        <v>0.1</v>
      </c>
      <c r="W15" s="121"/>
      <c r="Y15" s="7"/>
      <c r="AM15" s="9"/>
      <c r="AN15" s="26"/>
      <c r="AO15" s="27"/>
      <c r="AP15" s="27"/>
    </row>
    <row r="16" spans="1:50" ht="21">
      <c r="A16" s="53" t="s">
        <v>33</v>
      </c>
      <c r="B16" s="47">
        <v>0</v>
      </c>
      <c r="C16" s="47">
        <v>0.05</v>
      </c>
      <c r="D16" s="56">
        <v>0.05</v>
      </c>
      <c r="G16" s="2" t="s">
        <v>34</v>
      </c>
      <c r="H16" s="120">
        <f>$B$16</f>
        <v>0</v>
      </c>
      <c r="I16" s="121"/>
      <c r="J16" s="7"/>
      <c r="K16" s="20"/>
      <c r="L16" s="20"/>
      <c r="M16" s="20"/>
      <c r="N16" s="20"/>
      <c r="O16" s="20"/>
      <c r="P16" s="20"/>
      <c r="U16" s="2" t="s">
        <v>34</v>
      </c>
      <c r="V16" s="120">
        <f>$C$16</f>
        <v>0.05</v>
      </c>
      <c r="W16" s="121"/>
      <c r="AM16" s="9"/>
      <c r="AN16" s="26"/>
      <c r="AO16" s="27"/>
      <c r="AP16" s="28"/>
    </row>
    <row r="17" spans="1:55" ht="21.75" thickBot="1">
      <c r="A17" s="54" t="s">
        <v>35</v>
      </c>
      <c r="B17" s="58">
        <v>0.15</v>
      </c>
      <c r="C17" s="58">
        <v>0.1</v>
      </c>
      <c r="D17" s="59">
        <v>0.1</v>
      </c>
      <c r="G17" s="3" t="s">
        <v>36</v>
      </c>
      <c r="H17" s="6">
        <f>$B$22</f>
        <v>1E-3</v>
      </c>
      <c r="I17" s="11">
        <f>$C$22</f>
        <v>15</v>
      </c>
      <c r="U17" s="3" t="s">
        <v>36</v>
      </c>
      <c r="V17" s="6">
        <v>0</v>
      </c>
      <c r="W17" s="11">
        <v>0</v>
      </c>
      <c r="Y17" s="24"/>
      <c r="Z17" s="24"/>
      <c r="AA17" s="24"/>
      <c r="AN17" s="26"/>
      <c r="AO17" s="27"/>
      <c r="AP17" s="28"/>
    </row>
    <row r="18" spans="1:55" ht="16.5" thickBot="1">
      <c r="G18" s="3" t="s">
        <v>37</v>
      </c>
      <c r="H18" s="6">
        <f>$B$22</f>
        <v>1E-3</v>
      </c>
      <c r="I18" s="11">
        <f>$C$22</f>
        <v>15</v>
      </c>
      <c r="U18" s="3" t="s">
        <v>37</v>
      </c>
      <c r="V18" s="6">
        <f>$D$20</f>
        <v>1E-3</v>
      </c>
      <c r="W18" s="11">
        <f>$E$20</f>
        <v>29</v>
      </c>
      <c r="Y18" s="24"/>
      <c r="Z18" s="24"/>
      <c r="AA18" s="24"/>
      <c r="AN18" s="26"/>
      <c r="AO18" s="27"/>
      <c r="AP18" s="27"/>
      <c r="AQ18" s="7"/>
    </row>
    <row r="19" spans="1:55" ht="24" thickBot="1">
      <c r="A19" s="69" t="s">
        <v>38</v>
      </c>
      <c r="B19" s="113" t="s">
        <v>39</v>
      </c>
      <c r="C19" s="114"/>
      <c r="D19" s="114" t="s">
        <v>40</v>
      </c>
      <c r="E19" s="115"/>
      <c r="G19" s="3" t="s">
        <v>41</v>
      </c>
      <c r="H19" s="127">
        <f>$B$25</f>
        <v>5.0000000000000001E-3</v>
      </c>
      <c r="I19" s="128"/>
      <c r="J19" s="10"/>
      <c r="U19" s="3" t="s">
        <v>41</v>
      </c>
      <c r="V19" s="127">
        <v>0</v>
      </c>
      <c r="W19" s="128"/>
      <c r="X19" s="7"/>
      <c r="Y19" s="24"/>
      <c r="Z19" s="24"/>
      <c r="AA19" s="24"/>
      <c r="AN19" s="26"/>
      <c r="AO19" s="27"/>
      <c r="AP19" s="27"/>
    </row>
    <row r="20" spans="1:55" ht="18.75">
      <c r="A20" s="70" t="s">
        <v>42</v>
      </c>
      <c r="B20" s="65">
        <v>1E-3</v>
      </c>
      <c r="C20" s="63">
        <v>14</v>
      </c>
      <c r="D20" s="65">
        <v>1E-3</v>
      </c>
      <c r="E20" s="66">
        <v>29</v>
      </c>
      <c r="G20" s="3" t="s">
        <v>43</v>
      </c>
      <c r="H20" s="6">
        <f>$B$25</f>
        <v>5.0000000000000001E-3</v>
      </c>
      <c r="I20" s="13" t="s">
        <v>44</v>
      </c>
      <c r="J20" s="10"/>
      <c r="U20" s="3" t="s">
        <v>43</v>
      </c>
      <c r="V20" s="6">
        <v>0</v>
      </c>
      <c r="W20" s="13" t="s">
        <v>44</v>
      </c>
      <c r="X20" s="7"/>
      <c r="Y20" s="7"/>
      <c r="AN20" s="26"/>
      <c r="AO20" s="27"/>
      <c r="AP20" s="29"/>
    </row>
    <row r="21" spans="1:55" ht="18.75">
      <c r="A21" s="71" t="s">
        <v>45</v>
      </c>
      <c r="B21" s="62">
        <v>1E-3</v>
      </c>
      <c r="C21" s="63">
        <v>20</v>
      </c>
      <c r="D21" s="64">
        <v>1.5E-3</v>
      </c>
      <c r="E21" s="66">
        <v>85</v>
      </c>
      <c r="G21" s="3" t="s">
        <v>46</v>
      </c>
      <c r="H21" s="6">
        <f>$B$10</f>
        <v>1E-3</v>
      </c>
      <c r="I21" s="16">
        <f>(IF($H$14= 0, 0, MAX($I$17,$H$14*$H$17) +$H$14*$H$19))</f>
        <v>52.5</v>
      </c>
      <c r="U21" s="3" t="s">
        <v>46</v>
      </c>
      <c r="V21" s="6">
        <f>$C$10</f>
        <v>5.0000000000000001E-3</v>
      </c>
      <c r="W21" s="16">
        <f>(IF($V$14= 0, 0, MAX($W$17,$V$14*$V$17) +$V$14*$V$19))</f>
        <v>0</v>
      </c>
      <c r="X21" s="7"/>
      <c r="Y21" s="7"/>
      <c r="AN21" s="26"/>
      <c r="AO21" s="27"/>
      <c r="AP21" s="30"/>
      <c r="AR21" s="7"/>
      <c r="AS21" s="7"/>
      <c r="AT21" s="7"/>
      <c r="AU21" s="7"/>
    </row>
    <row r="22" spans="1:55" ht="18" customHeight="1" thickBot="1">
      <c r="A22" s="72" t="s">
        <v>47</v>
      </c>
      <c r="B22" s="62">
        <v>1E-3</v>
      </c>
      <c r="C22" s="63">
        <v>15</v>
      </c>
      <c r="D22" s="64">
        <v>1.5E-3</v>
      </c>
      <c r="E22" s="66">
        <v>90</v>
      </c>
      <c r="G22" s="4" t="s">
        <v>48</v>
      </c>
      <c r="H22" s="17" t="s">
        <v>49</v>
      </c>
      <c r="I22" s="18" t="s">
        <v>50</v>
      </c>
      <c r="K22" s="7"/>
      <c r="L22" s="7"/>
      <c r="M22" s="7"/>
      <c r="N22" s="7"/>
      <c r="O22" s="7"/>
      <c r="P22" s="7"/>
      <c r="U22" s="4" t="s">
        <v>48</v>
      </c>
      <c r="V22" s="14" t="s">
        <v>51</v>
      </c>
      <c r="W22" s="18" t="s">
        <v>50</v>
      </c>
      <c r="X22" s="10"/>
      <c r="Y22" s="10"/>
      <c r="AN22" s="26"/>
      <c r="AO22" s="27"/>
      <c r="AP22" s="29"/>
    </row>
    <row r="23" spans="1:55" ht="18" customHeight="1" thickBot="1">
      <c r="B23" s="67"/>
      <c r="E23" s="68"/>
      <c r="G23" s="4" t="s">
        <v>52</v>
      </c>
      <c r="H23" s="14">
        <f>$B$12</f>
        <v>0.17</v>
      </c>
      <c r="I23" s="19">
        <f>(IF($H$13= 0, 0, MAX($I$17,$H$13*$H$17) +$H$13*$H$19))</f>
        <v>0</v>
      </c>
      <c r="K23" s="7"/>
      <c r="L23" s="7"/>
      <c r="M23" s="7"/>
      <c r="N23" s="7"/>
      <c r="O23" s="7"/>
      <c r="P23" s="7"/>
      <c r="U23" s="4" t="s">
        <v>52</v>
      </c>
      <c r="V23" s="14">
        <f>$C$12</f>
        <v>0.27</v>
      </c>
      <c r="W23" s="19">
        <f>(IF($V$13= 0, 0, MAX($W$17,$V$13*$V$17) +$V$13*$V$19))</f>
        <v>0</v>
      </c>
      <c r="AN23" s="26"/>
      <c r="AO23" s="27"/>
      <c r="AP23" s="27"/>
    </row>
    <row r="24" spans="1:55" ht="24" thickBot="1">
      <c r="A24" s="60" t="s">
        <v>53</v>
      </c>
      <c r="E24" s="68"/>
      <c r="G24" s="4" t="s">
        <v>54</v>
      </c>
      <c r="H24" s="125">
        <f>$B$13</f>
        <v>0.17</v>
      </c>
      <c r="I24" s="126"/>
      <c r="K24" s="7"/>
      <c r="L24" s="7"/>
      <c r="M24" s="7"/>
      <c r="N24" s="7"/>
      <c r="O24" s="7"/>
      <c r="P24" s="7"/>
      <c r="U24" s="4" t="s">
        <v>54</v>
      </c>
      <c r="V24" s="125">
        <f>$C$13</f>
        <v>0.42</v>
      </c>
      <c r="W24" s="126"/>
      <c r="AN24" s="26"/>
      <c r="AO24" s="32"/>
      <c r="AP24" s="32"/>
    </row>
    <row r="25" spans="1:55" ht="18.75">
      <c r="A25" s="71" t="s">
        <v>55</v>
      </c>
      <c r="B25" s="94">
        <v>5.0000000000000001E-3</v>
      </c>
      <c r="C25" s="95"/>
      <c r="D25" s="96">
        <v>2.5000000000000001E-3</v>
      </c>
      <c r="E25" s="97"/>
      <c r="G25" s="4" t="s">
        <v>56</v>
      </c>
      <c r="H25" s="122">
        <f>$B$14</f>
        <v>105600</v>
      </c>
      <c r="I25" s="123"/>
      <c r="U25" s="4" t="s">
        <v>57</v>
      </c>
      <c r="V25" s="122">
        <f>$C$14</f>
        <v>56500</v>
      </c>
      <c r="W25" s="123"/>
    </row>
    <row r="26" spans="1:55" ht="24" thickBot="1">
      <c r="A26" s="72" t="s">
        <v>58</v>
      </c>
      <c r="B26" s="98">
        <v>1.5E-3</v>
      </c>
      <c r="C26" s="99"/>
      <c r="D26" s="100">
        <v>7.5000000000000002E-4</v>
      </c>
      <c r="E26" s="101"/>
      <c r="X26" s="25"/>
      <c r="Y26" s="25"/>
      <c r="Z26" s="25"/>
      <c r="AE26" s="124" t="s">
        <v>59</v>
      </c>
      <c r="AF26" s="124"/>
      <c r="AG26" s="124"/>
      <c r="AH26" s="124"/>
      <c r="AN26" s="25"/>
      <c r="AO26" s="25"/>
      <c r="AP26" s="25"/>
      <c r="AQ26" s="25"/>
      <c r="AR26" s="25"/>
      <c r="AS26" s="25"/>
      <c r="AT26" s="25"/>
      <c r="AU26" s="25"/>
    </row>
    <row r="27" spans="1:55" ht="24" thickBot="1">
      <c r="G27" s="8" t="s">
        <v>60</v>
      </c>
      <c r="H27" s="8" t="s">
        <v>61</v>
      </c>
      <c r="I27" s="8" t="s">
        <v>62</v>
      </c>
      <c r="J27" s="8" t="s">
        <v>63</v>
      </c>
      <c r="K27" s="8" t="s">
        <v>64</v>
      </c>
      <c r="L27" s="8" t="s">
        <v>65</v>
      </c>
      <c r="M27" s="8" t="s">
        <v>66</v>
      </c>
      <c r="N27" s="8" t="s">
        <v>67</v>
      </c>
      <c r="O27" s="8" t="s">
        <v>68</v>
      </c>
      <c r="P27" s="8" t="s">
        <v>69</v>
      </c>
      <c r="U27" s="8" t="s">
        <v>60</v>
      </c>
      <c r="V27" s="8" t="s">
        <v>61</v>
      </c>
      <c r="W27" s="8" t="s">
        <v>63</v>
      </c>
      <c r="X27" s="8" t="s">
        <v>64</v>
      </c>
      <c r="Y27" s="8" t="s">
        <v>70</v>
      </c>
      <c r="Z27" s="8" t="s">
        <v>71</v>
      </c>
      <c r="AA27" s="8" t="s">
        <v>72</v>
      </c>
      <c r="AB27" s="8" t="s">
        <v>73</v>
      </c>
      <c r="AC27" s="8" t="s">
        <v>74</v>
      </c>
      <c r="AD27" s="8" t="s">
        <v>75</v>
      </c>
      <c r="AE27" s="8" t="s">
        <v>68</v>
      </c>
      <c r="AF27" s="8" t="s">
        <v>76</v>
      </c>
      <c r="AG27" s="8" t="s">
        <v>77</v>
      </c>
      <c r="AH27" s="8" t="s">
        <v>78</v>
      </c>
      <c r="AN27" s="76" t="str">
        <f>$G$27</f>
        <v>Tid (år)</v>
      </c>
      <c r="AO27" s="77" t="str">
        <f>$V$27</f>
        <v>Investering</v>
      </c>
      <c r="AP27" s="77" t="s">
        <v>79</v>
      </c>
      <c r="AQ27" s="77"/>
      <c r="AR27" s="77"/>
      <c r="AS27" s="86" t="s">
        <v>80</v>
      </c>
      <c r="AT27" s="87"/>
      <c r="AU27" s="88"/>
      <c r="AV27" s="77" t="s">
        <v>81</v>
      </c>
      <c r="AW27" s="77"/>
      <c r="AX27" s="77"/>
      <c r="AY27" s="78" t="s">
        <v>82</v>
      </c>
      <c r="AZ27" s="77"/>
      <c r="BA27" s="79"/>
    </row>
    <row r="28" spans="1:55" ht="24" thickBot="1">
      <c r="A28" s="60" t="s">
        <v>83</v>
      </c>
      <c r="D28" s="21"/>
      <c r="E28" s="21"/>
      <c r="G28">
        <v>1</v>
      </c>
      <c r="H28" s="10">
        <f>$H$13</f>
        <v>0</v>
      </c>
      <c r="I28" s="10">
        <f>SUM($H$28:H28)+M28</f>
        <v>0</v>
      </c>
      <c r="J28" s="10">
        <f>H28-IF(H28=0,0,$I$23)</f>
        <v>0</v>
      </c>
      <c r="K28" s="10">
        <f>J28</f>
        <v>0</v>
      </c>
      <c r="L28" s="10">
        <f t="shared" ref="L28:L59" si="0">(K28*($H$15-$H$21+1)^($G$28))</f>
        <v>0</v>
      </c>
      <c r="M28" s="10">
        <f t="shared" ref="M28:M59" si="1">(L28-K28)*$H$23</f>
        <v>0</v>
      </c>
      <c r="N28" s="10">
        <f>L28-M28</f>
        <v>0</v>
      </c>
      <c r="O28" s="7">
        <f>MAX($I$18,$H$18*N28)+N28*$H$20</f>
        <v>15</v>
      </c>
      <c r="P28" s="10">
        <f>N28-O28</f>
        <v>-15</v>
      </c>
      <c r="U28">
        <v>1</v>
      </c>
      <c r="V28" s="10">
        <f>H28+M28</f>
        <v>0</v>
      </c>
      <c r="W28" s="10">
        <f>V28-IF(V28=0,0,$W$23)</f>
        <v>0</v>
      </c>
      <c r="X28" s="10">
        <f>$W$28</f>
        <v>0</v>
      </c>
      <c r="Y28" s="73">
        <f>X28*$V$16</f>
        <v>0</v>
      </c>
      <c r="Z28" s="73">
        <f>IF(Y28&gt;=$V$25,$V$25*$V$23,Y28*$V$23)</f>
        <v>0</v>
      </c>
      <c r="AA28" s="74">
        <f>IF(Y28&gt;=$V$25,(Y28-$V$25)*$V$24,0)</f>
        <v>0</v>
      </c>
      <c r="AB28" s="73">
        <f>(X28*($V$15-$V$21+1)^($U$28)) + (Y28-Z28-AA28)</f>
        <v>0</v>
      </c>
      <c r="AC28" s="10">
        <f>AB28-X28</f>
        <v>0</v>
      </c>
      <c r="AD28" s="10">
        <f>SUM($AC$28:AC28)</f>
        <v>0</v>
      </c>
      <c r="AE28" s="73">
        <f>MAX($W$18,$V$18*AB28)+AB28*$V$20</f>
        <v>29</v>
      </c>
      <c r="AF28" s="73">
        <f>IF(Y28+AD28&gt;=$V$25,MAX($V$25-Y28,0)*$V$23,AD28*$V$23)</f>
        <v>0</v>
      </c>
      <c r="AG28" s="74">
        <f>IF(Y28+AD28&gt;=$V$25,(AD28-MAX($V$25-Y28, 0))*$V$24,0)</f>
        <v>0</v>
      </c>
      <c r="AH28" s="10">
        <f>AB28-AE28-AF28-AG28</f>
        <v>-29</v>
      </c>
      <c r="AM28" s="10"/>
      <c r="AN28" cm="1">
        <f t="array" ref="AN28:AN30">_xlfn._xlws.FILTER($G$28:$G$78,$G$28:$G$78&lt;=$E$31)</f>
        <v>1</v>
      </c>
      <c r="AO28" s="91" cm="1">
        <f t="array" ref="AO28:AO30">_xlfn._xlws.FILTER($I$28:$I$78,$G$28:$G$78&lt;=E31)</f>
        <v>0</v>
      </c>
      <c r="AP28" s="10" cm="1">
        <f t="array" ref="AP28:AP29">_xlfn._xlws.FILTER($N$28:$N$78,$G$28:$G$78&lt;=$E$31-1)</f>
        <v>0</v>
      </c>
      <c r="AQ28" s="73">
        <f t="shared" ref="AQ28:AQ59" si="2">IF(AND(ISBLANK(AP28),ISBLANK(AP27)),"",IF(ISBLANK(AP28),$B$30,AP28))</f>
        <v>0</v>
      </c>
      <c r="AR28" s="80" cm="1">
        <f t="array" ref="AR28">IFERROR(INDEX($AQ$28:$AQ$78,_xlfn.AGGREGATE(15,3,ROW($AQ$28:$AQ$78)-ROW($AN$27)/($AQ$28:$AQ$78&lt;&gt;""),ROWS($AN$28:AN28))),"")</f>
        <v>0</v>
      </c>
      <c r="AS28" s="73" cm="1">
        <f t="array" ref="AS28:AS29">_xlfn._xlws.FILTER($N$101:$N$151,$G$101:$G$151&lt;=$E$31-1)</f>
        <v>0</v>
      </c>
      <c r="AT28" s="73">
        <f>IF(AND(ISBLANK(AS28),ISBLANK(AS27)),"",IF(ISBLANK(AS28),$B$31,AS28))</f>
        <v>0</v>
      </c>
      <c r="AU28" s="85" cm="1">
        <f t="array" ref="AU28">IFERROR(INDEX($AT$28:$AT$78,_xlfn.AGGREGATE(15,3,ROW($AT$28:$AT$78)-ROW($AN$27)/($AT$28:$AT$78&lt;&gt;""),ROWS($AN$28:AN28))),"")</f>
        <v>0</v>
      </c>
      <c r="AV28" s="10" cm="1">
        <f t="array" ref="AV28:AV29">_xlfn._xlws.FILTER($AB$28:$AB$78,$G$28:$G$78&lt;=$E$31-1)</f>
        <v>0</v>
      </c>
      <c r="AW28" s="10">
        <f t="shared" ref="AW28:AW59" si="3">IF(AND(ISBLANK(AV28),ISBLANK(AV27)),"",IF(ISBLANK(AV28),$B$32,AV28))</f>
        <v>0</v>
      </c>
      <c r="AX28" s="89" cm="1">
        <f t="array" ref="AX28">IFERROR(INDEX($AW$28:$AW$78,_xlfn.AGGREGATE(15,3,ROW($AW$28:$AW$78)-ROW($AN$27)/($AW$28:$AW$78&lt;&gt;""),ROWS($AN$28:AN28))),"")</f>
        <v>0</v>
      </c>
      <c r="AY28" s="10" cm="1">
        <f t="array" ref="AY28:AY29">_xlfn._xlws.FILTER($AB$101:$AB$151,$G$28:$G$78&lt;=$E$31-1)</f>
        <v>0</v>
      </c>
      <c r="AZ28" s="10">
        <f>IF(AND(ISBLANK(AY28),ISBLANK(AY27)),"",IF(ISBLANK(AY28),$B$33,AY28))</f>
        <v>0</v>
      </c>
      <c r="BA28" s="10" cm="1">
        <f t="array" ref="BA28">IFERROR(INDEX($AZ$28:$AZ$78,_xlfn.AGGREGATE(15,3,ROW($AZ$28:$AZ$78)-ROW($AN$27)/($AZ$28:$AZ$78&lt;&gt;""),ROWS($AN$28:AN28))),"")</f>
        <v>0</v>
      </c>
      <c r="BB28" s="10"/>
    </row>
    <row r="29" spans="1:55" ht="26.25">
      <c r="A29" s="41" t="str">
        <f>$I$27</f>
        <v>Investering (i alt)</v>
      </c>
      <c r="B29" s="82" cm="1">
        <f t="array" ref="B29">INDEX($I$29:$I$78,$E$31-1,1)</f>
        <v>184864.78177289999</v>
      </c>
      <c r="D29" s="37" t="s">
        <v>84</v>
      </c>
      <c r="E29" s="39">
        <v>0</v>
      </c>
      <c r="G29">
        <v>2</v>
      </c>
      <c r="H29" s="10">
        <f>12*$H$14</f>
        <v>90000</v>
      </c>
      <c r="I29" s="10">
        <f>SUM($H$28:H29)+M29</f>
        <v>92263.742100000003</v>
      </c>
      <c r="J29" s="10">
        <f>H29-IF(H29=0,0,$I$21*12)</f>
        <v>89370</v>
      </c>
      <c r="K29" s="10">
        <f>L28+J29</f>
        <v>89370</v>
      </c>
      <c r="L29" s="10">
        <f t="shared" si="0"/>
        <v>102686.13</v>
      </c>
      <c r="M29" s="10">
        <f t="shared" si="1"/>
        <v>2263.7421000000008</v>
      </c>
      <c r="N29" s="10">
        <f>L29-M29</f>
        <v>100422.3879</v>
      </c>
      <c r="O29" s="7">
        <f t="shared" ref="O29:O78" si="4">MAX($I$18,$H$18*N29)+N29*$H$20</f>
        <v>602.53432740000005</v>
      </c>
      <c r="P29" s="10">
        <f t="shared" ref="P29:P78" si="5">N29-O29</f>
        <v>99819.853572599997</v>
      </c>
      <c r="U29">
        <v>2</v>
      </c>
      <c r="V29" s="10">
        <f>H29+M29</f>
        <v>92263.742100000003</v>
      </c>
      <c r="W29" s="10">
        <f>V29-IF(V29=0,0,$W$21*12)</f>
        <v>92263.742100000003</v>
      </c>
      <c r="X29" s="10">
        <f>AB28+W29</f>
        <v>92263.742100000003</v>
      </c>
      <c r="Y29" s="73">
        <f>X29*$V$16</f>
        <v>4613.187105</v>
      </c>
      <c r="Z29" s="73">
        <f>IF(Y29&gt;=$V$25,$V$25*$V$23,Y29*$V$23)</f>
        <v>1245.5605183500002</v>
      </c>
      <c r="AA29" s="74">
        <f>IF(Y29&gt;=$V$25,(Y29-$V$25)*$V$24,0)</f>
        <v>0</v>
      </c>
      <c r="AB29" s="73">
        <f>(X29*($V$15-$V$21+1)^($U$28)) + (Y29-Z29-AA29)</f>
        <v>104396.42418615</v>
      </c>
      <c r="AC29" s="10">
        <f>AB29-X29</f>
        <v>12132.682086150002</v>
      </c>
      <c r="AD29" s="10">
        <f>SUM($AC$28:AC29)</f>
        <v>12132.682086150002</v>
      </c>
      <c r="AE29" s="73">
        <f t="shared" ref="AE29:AE78" si="6">MAX($W$18,$V$18*AB29)+AB29*$V$20</f>
        <v>104.39642418615001</v>
      </c>
      <c r="AF29" s="73">
        <f t="shared" ref="AF29:AF78" si="7">IF(Y29+AD29&gt;=$V$25,MAX($V$25-Y29,0)*$V$23,AD29*$V$23)</f>
        <v>3275.8241632605009</v>
      </c>
      <c r="AG29" s="74">
        <f t="shared" ref="AG29:AG78" si="8">IF(Y29+AD29&gt;=$V$25,(AD29-MAX($V$25-Y29, 0))*$V$24,0)</f>
        <v>0</v>
      </c>
      <c r="AH29" s="10">
        <f>AB29-AE29-AF29-AG29</f>
        <v>101016.20359870335</v>
      </c>
      <c r="AM29" s="12"/>
      <c r="AN29">
        <v>2</v>
      </c>
      <c r="AO29" s="92">
        <v>92263.742100000003</v>
      </c>
      <c r="AP29" s="10">
        <v>100422.3879</v>
      </c>
      <c r="AQ29" s="73">
        <f t="shared" si="2"/>
        <v>100422.3879</v>
      </c>
      <c r="AR29" s="80" cm="1">
        <f t="array" ref="AR29">IFERROR(INDEX($AQ$28:$AQ$78,_xlfn.AGGREGATE(15,3,ROW($AQ$28:$AQ$78)-ROW($AN$27)/($AQ$28:$AQ$78&lt;&gt;""),ROWS($AN$28:AN29))),"")</f>
        <v>100422.3879</v>
      </c>
      <c r="AS29" s="73">
        <v>99663.910650000005</v>
      </c>
      <c r="AT29" s="73">
        <f t="shared" ref="AT29:AT77" si="9">IF(AND(ISBLANK(AS29),ISBLANK(AS28)),"",IF(ISBLANK(AS29),$B$31,AS29))</f>
        <v>99663.910650000005</v>
      </c>
      <c r="AU29" s="85" cm="1">
        <f t="array" ref="AU29">IFERROR(INDEX($AT$28:$AT$78,_xlfn.AGGREGATE(15,3,ROW($AT$28:$AT$78)-ROW($AN$27)/($AT$28:$AT$78&lt;&gt;""),ROWS($AN$28:AN29))),"")</f>
        <v>99663.910650000005</v>
      </c>
      <c r="AV29" s="10">
        <v>104396.42418615</v>
      </c>
      <c r="AW29" s="10">
        <f t="shared" si="3"/>
        <v>104396.42418615</v>
      </c>
      <c r="AX29" s="90" cm="1">
        <f t="array" ref="AX29">IFERROR(INDEX($AW$28:$AW$78,_xlfn.AGGREGATE(15,3,ROW($AW$28:$AW$78)-ROW($AN$27)/($AW$28:$AW$78&lt;&gt;""),ROWS($AN$28:AN29))),"")</f>
        <v>104396.42418615</v>
      </c>
      <c r="AY29" s="10">
        <v>104073.55789665002</v>
      </c>
      <c r="AZ29" s="10">
        <f t="shared" ref="AZ29:AZ77" si="10">IF(AND(ISBLANK(AY29),ISBLANK(AY28)),"",IF(ISBLANK(AY29),$B$33,AY29))</f>
        <v>104073.55789665002</v>
      </c>
      <c r="BA29" s="10" cm="1">
        <f t="array" ref="BA29">IFERROR(INDEX($AZ$28:$AZ$78,_xlfn.AGGREGATE(15,3,ROW($AZ$28:$AZ$78)-ROW($AN$27)/($AZ$28:$AZ$78&lt;&gt;""),ROWS($AN$28:AN29))),"")</f>
        <v>104073.55789665002</v>
      </c>
      <c r="BB29" s="10"/>
      <c r="BC29" s="33"/>
    </row>
    <row r="30" spans="1:55" ht="26.25">
      <c r="A30" s="42" t="str">
        <f>$G$10</f>
        <v>Aktiesparekonto (Saxo Bank) (Tyske ETF'er)</v>
      </c>
      <c r="B30" s="83" cm="1">
        <f t="array" ref="B30">INDEX($P$29:$P$78,$E$31-1,1)</f>
        <v>214512.86532751741</v>
      </c>
      <c r="D30" s="38" t="s">
        <v>85</v>
      </c>
      <c r="E30" s="40">
        <v>7500</v>
      </c>
      <c r="G30">
        <v>3</v>
      </c>
      <c r="H30" s="10">
        <f>IF(N29&gt;$H$25,0,12*$H$14)</f>
        <v>90000</v>
      </c>
      <c r="I30" s="10">
        <f>SUM($H$28:H30)+M30</f>
        <v>184864.78177289999</v>
      </c>
      <c r="J30" s="10">
        <f t="shared" ref="J30:J78" si="11">H30-IF(H30=0,0,$I$21*12)</f>
        <v>89370</v>
      </c>
      <c r="K30" s="10">
        <f>L29+J30</f>
        <v>192056.13</v>
      </c>
      <c r="L30" s="10">
        <f t="shared" si="0"/>
        <v>220672.49337000001</v>
      </c>
      <c r="M30" s="10">
        <f t="shared" si="1"/>
        <v>4864.7817729000017</v>
      </c>
      <c r="N30" s="10">
        <f t="shared" ref="N30:N78" si="12">L30-M30</f>
        <v>215807.71159710002</v>
      </c>
      <c r="O30" s="7">
        <f t="shared" si="4"/>
        <v>1294.8462695826001</v>
      </c>
      <c r="P30" s="10">
        <f t="shared" si="5"/>
        <v>214512.86532751741</v>
      </c>
      <c r="U30">
        <v>3</v>
      </c>
      <c r="V30" s="10">
        <f t="shared" ref="V30:V78" si="13">H30+M30</f>
        <v>94864.781772899994</v>
      </c>
      <c r="W30" s="10">
        <f t="shared" ref="W30:W78" si="14">V30-IF(V30=0,0,$W$21*12)</f>
        <v>94864.781772899994</v>
      </c>
      <c r="X30" s="10">
        <f>AB29+W30</f>
        <v>199261.20595904998</v>
      </c>
      <c r="Y30" s="73">
        <f>X30*$V$16</f>
        <v>9963.0602979524992</v>
      </c>
      <c r="Z30" s="73">
        <f>IF(Y30&gt;=$V$25,$V$25*$V$23,Y30*$V$23)</f>
        <v>2690.0262804471749</v>
      </c>
      <c r="AA30" s="74">
        <f>IF(Y30&gt;=$V$25,(Y30-$V$25)*$V$24,0)</f>
        <v>0</v>
      </c>
      <c r="AB30" s="73">
        <f>(X30*($V$15-$V$21+1)^($U$28)) + (Y30-Z30-AA30)</f>
        <v>225464.05454266505</v>
      </c>
      <c r="AC30" s="10">
        <f>AB30-X30</f>
        <v>26202.848583615065</v>
      </c>
      <c r="AD30" s="10">
        <f>SUM($AC$28:AC30)</f>
        <v>38335.530669765067</v>
      </c>
      <c r="AE30" s="73">
        <f t="shared" si="6"/>
        <v>225.46405454266505</v>
      </c>
      <c r="AF30" s="73">
        <f t="shared" si="7"/>
        <v>10350.593280836569</v>
      </c>
      <c r="AG30" s="74">
        <f t="shared" si="8"/>
        <v>0</v>
      </c>
      <c r="AH30" s="10">
        <f>AB30-AE30-AF30-AG30</f>
        <v>214887.99720728584</v>
      </c>
      <c r="AM30" s="12"/>
      <c r="AN30">
        <v>3</v>
      </c>
      <c r="AO30" s="92">
        <v>184864.78177289999</v>
      </c>
      <c r="AP30" s="10"/>
      <c r="AQ30" s="73">
        <f t="shared" si="2"/>
        <v>214512.86532751741</v>
      </c>
      <c r="AR30" s="80" cm="1">
        <f t="array" ref="AR30">IFERROR(INDEX($AQ$28:$AQ$78,_xlfn.AGGREGATE(15,3,ROW($AQ$28:$AQ$78)-ROW($AN$27)/($AQ$28:$AQ$78&lt;&gt;""),ROWS($AN$28:AN30))),"")</f>
        <v>214512.86532751741</v>
      </c>
      <c r="AS30" s="73"/>
      <c r="AT30" s="73">
        <f t="shared" si="9"/>
        <v>213321.03301090258</v>
      </c>
      <c r="AU30" s="85" cm="1">
        <f t="array" ref="AU30">IFERROR(INDEX($AT$28:$AT$78,_xlfn.AGGREGATE(15,3,ROW($AT$28:$AT$78)-ROW($AN$27)/($AT$28:$AT$78&lt;&gt;""),ROWS($AN$28:AN30))),"")</f>
        <v>213321.03301090258</v>
      </c>
      <c r="AV30" s="10"/>
      <c r="AW30" s="10">
        <f t="shared" si="3"/>
        <v>214887.99720728584</v>
      </c>
      <c r="AX30" s="90" cm="1">
        <f t="array" ref="AX30">IFERROR(INDEX($AW$28:$AW$78,_xlfn.AGGREGATE(15,3,ROW($AW$28:$AW$78)-ROW($AN$27)/($AW$28:$AW$78&lt;&gt;""),ROWS($AN$28:AN30))),"")</f>
        <v>214887.99720728584</v>
      </c>
      <c r="AY30" s="10"/>
      <c r="AZ30" s="10">
        <f t="shared" si="10"/>
        <v>213275.98978262019</v>
      </c>
      <c r="BA30" s="10" cm="1">
        <f t="array" ref="BA30">IFERROR(INDEX($AZ$28:$AZ$78,_xlfn.AGGREGATE(15,3,ROW($AZ$28:$AZ$78)-ROW($AN$27)/($AZ$28:$AZ$78&lt;&gt;""),ROWS($AN$28:AN30))),"")</f>
        <v>213275.98978262019</v>
      </c>
      <c r="BB30" s="10"/>
      <c r="BC30" s="33"/>
    </row>
    <row r="31" spans="1:55" ht="27" thickBot="1">
      <c r="A31" s="42" t="str">
        <f>$G$83</f>
        <v>Aktiesparekonto (Nordnet) (Tyske ETF'er)</v>
      </c>
      <c r="B31" s="83" cm="1">
        <f t="array" ref="B31">INDEX($P$102:$P$151,$E$31-1,1)</f>
        <v>213321.03301090258</v>
      </c>
      <c r="D31" s="36" t="s">
        <v>86</v>
      </c>
      <c r="E31" s="45">
        <v>3</v>
      </c>
      <c r="G31">
        <v>4</v>
      </c>
      <c r="H31" s="10">
        <f t="shared" ref="H30:H61" si="15">IF(N30&gt;$H$25,0,12*$H$14)</f>
        <v>0</v>
      </c>
      <c r="I31" s="10">
        <f>SUM($H$28:H31)+M31</f>
        <v>185589.63425706211</v>
      </c>
      <c r="J31" s="10">
        <f t="shared" si="11"/>
        <v>0</v>
      </c>
      <c r="K31" s="10">
        <f t="shared" ref="K31:K78" si="16">L30+J31</f>
        <v>220672.49337000001</v>
      </c>
      <c r="L31" s="10">
        <f t="shared" si="0"/>
        <v>253552.69488213002</v>
      </c>
      <c r="M31" s="10">
        <f t="shared" si="1"/>
        <v>5589.6342570621018</v>
      </c>
      <c r="N31" s="10">
        <f t="shared" si="12"/>
        <v>247963.06062506791</v>
      </c>
      <c r="O31" s="7">
        <f t="shared" si="4"/>
        <v>1487.7783637504076</v>
      </c>
      <c r="P31" s="10">
        <f t="shared" si="5"/>
        <v>246475.28226131751</v>
      </c>
      <c r="U31">
        <v>4</v>
      </c>
      <c r="V31" s="10">
        <f t="shared" si="13"/>
        <v>5589.6342570621018</v>
      </c>
      <c r="W31" s="10">
        <f t="shared" si="14"/>
        <v>5589.6342570621018</v>
      </c>
      <c r="X31" s="10">
        <f t="shared" ref="X31:X78" si="17">AB30+W31</f>
        <v>231053.68879972716</v>
      </c>
      <c r="Y31" s="73">
        <f t="shared" ref="Y31:Y78" si="18">X31*$V$16</f>
        <v>11552.684439986358</v>
      </c>
      <c r="Z31" s="73">
        <f t="shared" ref="Z31:Z78" si="19">IF(Y31&gt;=$V$25,$V$25*$V$23,Y31*$V$23)</f>
        <v>3119.2247987963169</v>
      </c>
      <c r="AA31" s="74">
        <f t="shared" ref="AA31:AA78" si="20">IF(Y31&gt;=$V$25,(Y31-$V$25)*$V$24,0)</f>
        <v>0</v>
      </c>
      <c r="AB31" s="73">
        <f t="shared" ref="AB31:AB78" si="21">(X31*($V$15-$V$21+1)^($U$28)) + (Y31-Z31-AA31)</f>
        <v>261437.24887689127</v>
      </c>
      <c r="AC31" s="10">
        <f t="shared" ref="AC31:AC78" si="22">AB31-X31</f>
        <v>30383.560077164118</v>
      </c>
      <c r="AD31" s="10">
        <f>SUM($AC$28:AC31)</f>
        <v>68719.090746929185</v>
      </c>
      <c r="AE31" s="73">
        <f t="shared" si="6"/>
        <v>261.43724887689126</v>
      </c>
      <c r="AF31" s="73">
        <f t="shared" si="7"/>
        <v>12135.775201203684</v>
      </c>
      <c r="AG31" s="74">
        <f t="shared" si="8"/>
        <v>9984.1455785045291</v>
      </c>
      <c r="AH31" s="10">
        <f t="shared" ref="AH31:AH78" si="23">AB31-AE31-AF31-AG31</f>
        <v>239055.89084830615</v>
      </c>
      <c r="AM31" s="12"/>
      <c r="AO31" s="92"/>
      <c r="AP31" s="10"/>
      <c r="AQ31" s="73" t="str">
        <f t="shared" si="2"/>
        <v/>
      </c>
      <c r="AR31" s="80" t="str" cm="1">
        <f t="array" ref="AR31">IFERROR(INDEX($AQ$28:$AQ$78,_xlfn.AGGREGATE(15,3,ROW($AQ$28:$AQ$78)-ROW($AN$27)/($AQ$28:$AQ$78&lt;&gt;""),ROWS($AN$28:AN31))),"")</f>
        <v/>
      </c>
      <c r="AS31" s="73"/>
      <c r="AT31" s="73" t="str">
        <f t="shared" si="9"/>
        <v/>
      </c>
      <c r="AU31" s="85" t="str" cm="1">
        <f t="array" ref="AU31">IFERROR(INDEX($AT$28:$AT$78,_xlfn.AGGREGATE(15,3,ROW($AT$28:$AT$78)-ROW($AN$27)/($AT$28:$AT$78&lt;&gt;""),ROWS($AN$28:AN31))),"")</f>
        <v/>
      </c>
      <c r="AV31" s="10"/>
      <c r="AW31" s="10" t="str">
        <f t="shared" si="3"/>
        <v/>
      </c>
      <c r="AX31" s="90" t="str" cm="1">
        <f t="array" ref="AX31">IFERROR(INDEX($AW$28:$AW$78,_xlfn.AGGREGATE(15,3,ROW($AW$28:$AW$78)-ROW($AN$27)/($AW$28:$AW$78&lt;&gt;""),ROWS($AN$28:AN31))),"")</f>
        <v/>
      </c>
      <c r="AY31" s="10"/>
      <c r="AZ31" s="10" t="str">
        <f t="shared" si="10"/>
        <v/>
      </c>
      <c r="BA31" s="10" t="str" cm="1">
        <f t="array" ref="BA31">IFERROR(INDEX($AZ$28:$AZ$78,_xlfn.AGGREGATE(15,3,ROW($AZ$28:$AZ$78)-ROW($AN$27)/($AZ$28:$AZ$78&lt;&gt;""),ROWS($AN$28:AN31))),"")</f>
        <v/>
      </c>
      <c r="BB31" s="10"/>
      <c r="BC31" s="33"/>
    </row>
    <row r="32" spans="1:55" ht="18.75">
      <c r="A32" s="42" t="str">
        <f>$U$10</f>
        <v>Månedsopsparing (Nordnet) (Danske fonde)</v>
      </c>
      <c r="B32" s="83" cm="1">
        <f t="array" ref="B32">INDEX($AH$29:$AH$78,$E$31-1,1)</f>
        <v>214887.99720728584</v>
      </c>
      <c r="D32" s="21"/>
      <c r="E32" s="21"/>
      <c r="G32">
        <v>5</v>
      </c>
      <c r="H32" s="10">
        <f t="shared" si="15"/>
        <v>0</v>
      </c>
      <c r="I32" s="10">
        <f>SUM($H$28:H32)+M32</f>
        <v>186422.48976136436</v>
      </c>
      <c r="J32" s="10">
        <f t="shared" si="11"/>
        <v>0</v>
      </c>
      <c r="K32" s="10">
        <f t="shared" si="16"/>
        <v>253552.69488213002</v>
      </c>
      <c r="L32" s="10">
        <f t="shared" si="0"/>
        <v>291332.04641956737</v>
      </c>
      <c r="M32" s="10">
        <f t="shared" si="1"/>
        <v>6422.4897613643507</v>
      </c>
      <c r="N32" s="10">
        <f t="shared" si="12"/>
        <v>284909.55665820302</v>
      </c>
      <c r="O32" s="7">
        <f t="shared" si="4"/>
        <v>1709.4573399492181</v>
      </c>
      <c r="P32" s="10">
        <f t="shared" si="5"/>
        <v>283200.09931825381</v>
      </c>
      <c r="U32">
        <v>5</v>
      </c>
      <c r="V32" s="10">
        <f t="shared" si="13"/>
        <v>6422.4897613643507</v>
      </c>
      <c r="W32" s="10">
        <f t="shared" si="14"/>
        <v>6422.4897613643507</v>
      </c>
      <c r="X32" s="10">
        <f t="shared" si="17"/>
        <v>267859.73863825563</v>
      </c>
      <c r="Y32" s="73">
        <f t="shared" si="18"/>
        <v>13392.986931912783</v>
      </c>
      <c r="Z32" s="73">
        <f t="shared" si="19"/>
        <v>3616.1064716164515</v>
      </c>
      <c r="AA32" s="74">
        <f t="shared" si="20"/>
        <v>0</v>
      </c>
      <c r="AB32" s="73">
        <f t="shared" si="21"/>
        <v>303083.29426918627</v>
      </c>
      <c r="AC32" s="10">
        <f t="shared" si="22"/>
        <v>35223.555630930641</v>
      </c>
      <c r="AD32" s="10">
        <f>SUM($AC$28:AC32)</f>
        <v>103942.64637785983</v>
      </c>
      <c r="AE32" s="73">
        <f t="shared" si="6"/>
        <v>303.0832942691863</v>
      </c>
      <c r="AF32" s="73">
        <f t="shared" si="7"/>
        <v>11638.893528383549</v>
      </c>
      <c r="AG32" s="74">
        <f t="shared" si="8"/>
        <v>25550.965990104494</v>
      </c>
      <c r="AH32" s="10">
        <f t="shared" si="23"/>
        <v>265590.35145642905</v>
      </c>
      <c r="AM32" s="12"/>
      <c r="AO32" s="92"/>
      <c r="AP32" s="10"/>
      <c r="AQ32" s="73" t="str">
        <f t="shared" si="2"/>
        <v/>
      </c>
      <c r="AR32" s="80" t="str" cm="1">
        <f t="array" ref="AR32">IFERROR(INDEX($AQ$28:$AQ$78,_xlfn.AGGREGATE(15,3,ROW($AQ$28:$AQ$78)-ROW($AN$27)/($AQ$28:$AQ$78&lt;&gt;""),ROWS($AN$28:AN32))),"")</f>
        <v/>
      </c>
      <c r="AS32" s="73"/>
      <c r="AT32" s="73" t="str">
        <f t="shared" si="9"/>
        <v/>
      </c>
      <c r="AU32" s="85" t="str" cm="1">
        <f t="array" ref="AU32">IFERROR(INDEX($AT$28:$AT$78,_xlfn.AGGREGATE(15,3,ROW($AT$28:$AT$78)-ROW($AN$27)/($AT$28:$AT$78&lt;&gt;""),ROWS($AN$28:AN32))),"")</f>
        <v/>
      </c>
      <c r="AV32" s="10"/>
      <c r="AW32" s="10" t="str">
        <f t="shared" si="3"/>
        <v/>
      </c>
      <c r="AX32" s="90" t="str" cm="1">
        <f t="array" ref="AX32">IFERROR(INDEX($AW$28:$AW$78,_xlfn.AGGREGATE(15,3,ROW($AW$28:$AW$78)-ROW($AN$27)/($AW$28:$AW$78&lt;&gt;""),ROWS($AN$28:AN32))),"")</f>
        <v/>
      </c>
      <c r="AY32" s="10"/>
      <c r="AZ32" s="10" t="str">
        <f t="shared" si="10"/>
        <v/>
      </c>
      <c r="BA32" s="10" t="str" cm="1">
        <f t="array" ref="BA32">IFERROR(INDEX($AZ$28:$AZ$78,_xlfn.AGGREGATE(15,3,ROW($AZ$28:$AZ$78)-ROW($AN$27)/($AZ$28:$AZ$78&lt;&gt;""),ROWS($AN$28:AN32))),"")</f>
        <v/>
      </c>
      <c r="BB32" s="10"/>
      <c r="BC32" s="33"/>
    </row>
    <row r="33" spans="1:59" ht="19.5" thickBot="1">
      <c r="A33" s="43" t="str">
        <f>$U$83</f>
        <v>Enkelt Aktier (Saxo) (Amerikanske aktier)</v>
      </c>
      <c r="B33" s="84" cm="1">
        <f t="array" ref="B33">INDEX($AH$102:$AH$151,$E$31-1,1)</f>
        <v>213275.98978262019</v>
      </c>
      <c r="G33">
        <v>6</v>
      </c>
      <c r="H33" s="10">
        <f t="shared" si="15"/>
        <v>0</v>
      </c>
      <c r="I33" s="10">
        <f>SUM($H$28:H33)+M33</f>
        <v>187379.44073580764</v>
      </c>
      <c r="J33" s="10">
        <f t="shared" si="11"/>
        <v>0</v>
      </c>
      <c r="K33" s="10">
        <f t="shared" si="16"/>
        <v>291332.04641956737</v>
      </c>
      <c r="L33" s="10">
        <f t="shared" si="0"/>
        <v>334740.52133608289</v>
      </c>
      <c r="M33" s="10">
        <f t="shared" si="1"/>
        <v>7379.4407358076396</v>
      </c>
      <c r="N33" s="10">
        <f t="shared" si="12"/>
        <v>327361.08060027525</v>
      </c>
      <c r="O33" s="7">
        <f t="shared" si="4"/>
        <v>1964.1664836016516</v>
      </c>
      <c r="P33" s="10">
        <f t="shared" si="5"/>
        <v>325396.91411667358</v>
      </c>
      <c r="U33">
        <v>6</v>
      </c>
      <c r="V33" s="10">
        <f t="shared" si="13"/>
        <v>7379.4407358076396</v>
      </c>
      <c r="W33" s="10">
        <f t="shared" si="14"/>
        <v>7379.4407358076396</v>
      </c>
      <c r="X33" s="10">
        <f t="shared" si="17"/>
        <v>310462.73500499391</v>
      </c>
      <c r="Y33" s="73">
        <f t="shared" si="18"/>
        <v>15523.136750249696</v>
      </c>
      <c r="Z33" s="73">
        <f t="shared" si="19"/>
        <v>4191.2469225674186</v>
      </c>
      <c r="AA33" s="74">
        <f t="shared" si="20"/>
        <v>0</v>
      </c>
      <c r="AB33" s="73">
        <f t="shared" si="21"/>
        <v>351288.58465815062</v>
      </c>
      <c r="AC33" s="10">
        <f t="shared" si="22"/>
        <v>40825.849653156707</v>
      </c>
      <c r="AD33" s="10">
        <f>SUM($AC$28:AC33)</f>
        <v>144768.49603101652</v>
      </c>
      <c r="AE33" s="73">
        <f t="shared" si="6"/>
        <v>351.28858465815063</v>
      </c>
      <c r="AF33" s="73">
        <f t="shared" si="7"/>
        <v>11063.753077432584</v>
      </c>
      <c r="AG33" s="74">
        <f t="shared" si="8"/>
        <v>43592.485768131803</v>
      </c>
      <c r="AH33" s="10">
        <f t="shared" si="23"/>
        <v>296281.05722792808</v>
      </c>
      <c r="AO33" s="92"/>
      <c r="AP33" s="10"/>
      <c r="AQ33" s="73" t="str">
        <f t="shared" si="2"/>
        <v/>
      </c>
      <c r="AR33" s="80" t="str" cm="1">
        <f t="array" ref="AR33">IFERROR(INDEX($AQ$28:$AQ$78,_xlfn.AGGREGATE(15,3,ROW($AQ$28:$AQ$78)-ROW($AN$27)/($AQ$28:$AQ$78&lt;&gt;""),ROWS($AN$28:AN33))),"")</f>
        <v/>
      </c>
      <c r="AS33" s="73"/>
      <c r="AT33" s="73" t="str">
        <f t="shared" si="9"/>
        <v/>
      </c>
      <c r="AU33" s="85" t="str" cm="1">
        <f t="array" ref="AU33">IFERROR(INDEX($AT$28:$AT$78,_xlfn.AGGREGATE(15,3,ROW($AT$28:$AT$78)-ROW($AN$27)/($AT$28:$AT$78&lt;&gt;""),ROWS($AN$28:AN33))),"")</f>
        <v/>
      </c>
      <c r="AV33" s="10"/>
      <c r="AW33" s="10" t="str">
        <f t="shared" si="3"/>
        <v/>
      </c>
      <c r="AX33" s="90" t="str" cm="1">
        <f t="array" ref="AX33">IFERROR(INDEX($AW$28:$AW$78,_xlfn.AGGREGATE(15,3,ROW($AW$28:$AW$78)-ROW($AN$27)/($AW$28:$AW$78&lt;&gt;""),ROWS($AN$28:AN33))),"")</f>
        <v/>
      </c>
      <c r="AY33" s="10"/>
      <c r="AZ33" s="10" t="str">
        <f t="shared" si="10"/>
        <v/>
      </c>
      <c r="BA33" s="10" t="str" cm="1">
        <f t="array" ref="BA33">IFERROR(INDEX($AZ$28:$AZ$78,_xlfn.AGGREGATE(15,3,ROW($AZ$28:$AZ$78)-ROW($AN$27)/($AZ$28:$AZ$78&lt;&gt;""),ROWS($AN$28:AN33))),"")</f>
        <v/>
      </c>
      <c r="BB33" s="10"/>
      <c r="BC33" s="33"/>
    </row>
    <row r="34" spans="1:59">
      <c r="G34">
        <v>7</v>
      </c>
      <c r="H34" s="10">
        <f t="shared" si="15"/>
        <v>0</v>
      </c>
      <c r="I34" s="10">
        <f>SUM($H$28:H34)+M34</f>
        <v>188478.97740544297</v>
      </c>
      <c r="J34" s="10">
        <f t="shared" si="11"/>
        <v>0</v>
      </c>
      <c r="K34" s="10">
        <f t="shared" si="16"/>
        <v>334740.52133608289</v>
      </c>
      <c r="L34" s="10">
        <f t="shared" si="0"/>
        <v>384616.85901515925</v>
      </c>
      <c r="M34" s="10">
        <f t="shared" si="1"/>
        <v>8478.9774054429818</v>
      </c>
      <c r="N34" s="10">
        <f t="shared" si="12"/>
        <v>376137.88160971628</v>
      </c>
      <c r="O34" s="7">
        <f t="shared" si="4"/>
        <v>2256.8272896582976</v>
      </c>
      <c r="P34" s="10">
        <f t="shared" si="5"/>
        <v>373881.05432005797</v>
      </c>
      <c r="U34">
        <v>7</v>
      </c>
      <c r="V34" s="10">
        <f t="shared" si="13"/>
        <v>8478.9774054429818</v>
      </c>
      <c r="W34" s="10">
        <f t="shared" si="14"/>
        <v>8478.9774054429818</v>
      </c>
      <c r="X34" s="10">
        <f t="shared" si="17"/>
        <v>359767.56206359359</v>
      </c>
      <c r="Y34" s="73">
        <f t="shared" si="18"/>
        <v>17988.378103179679</v>
      </c>
      <c r="Z34" s="73">
        <f t="shared" si="19"/>
        <v>4856.8620878585134</v>
      </c>
      <c r="AA34" s="74">
        <f t="shared" si="20"/>
        <v>0</v>
      </c>
      <c r="AB34" s="73">
        <f t="shared" si="21"/>
        <v>407076.99647495616</v>
      </c>
      <c r="AC34" s="10">
        <f t="shared" si="22"/>
        <v>47309.43441136257</v>
      </c>
      <c r="AD34" s="10">
        <f>SUM($AC$28:AC34)</f>
        <v>192077.93044237909</v>
      </c>
      <c r="AE34" s="73">
        <f t="shared" si="6"/>
        <v>407.07699647495616</v>
      </c>
      <c r="AF34" s="73">
        <f t="shared" si="7"/>
        <v>10398.137912141487</v>
      </c>
      <c r="AG34" s="74">
        <f t="shared" si="8"/>
        <v>64497.849589134683</v>
      </c>
      <c r="AH34" s="10">
        <f t="shared" si="23"/>
        <v>331773.93197720504</v>
      </c>
      <c r="AO34" s="92"/>
      <c r="AP34" s="10"/>
      <c r="AQ34" s="73" t="str">
        <f t="shared" si="2"/>
        <v/>
      </c>
      <c r="AR34" s="80" t="str" cm="1">
        <f t="array" ref="AR34">IFERROR(INDEX($AQ$28:$AQ$78,_xlfn.AGGREGATE(15,3,ROW($AQ$28:$AQ$78)-ROW($AN$27)/($AQ$28:$AQ$78&lt;&gt;""),ROWS($AN$28:AN34))),"")</f>
        <v/>
      </c>
      <c r="AS34" s="73"/>
      <c r="AT34" s="73" t="str">
        <f t="shared" si="9"/>
        <v/>
      </c>
      <c r="AU34" s="85" t="str" cm="1">
        <f t="array" ref="AU34">IFERROR(INDEX($AT$28:$AT$78,_xlfn.AGGREGATE(15,3,ROW($AT$28:$AT$78)-ROW($AN$27)/($AT$28:$AT$78&lt;&gt;""),ROWS($AN$28:AN34))),"")</f>
        <v/>
      </c>
      <c r="AV34" s="10"/>
      <c r="AW34" s="10" t="str">
        <f t="shared" si="3"/>
        <v/>
      </c>
      <c r="AX34" s="90" t="str" cm="1">
        <f t="array" ref="AX34">IFERROR(INDEX($AW$28:$AW$78,_xlfn.AGGREGATE(15,3,ROW($AW$28:$AW$78)-ROW($AN$27)/($AW$28:$AW$78&lt;&gt;""),ROWS($AN$28:AN34))),"")</f>
        <v/>
      </c>
      <c r="AY34" s="10"/>
      <c r="AZ34" s="10" t="str">
        <f t="shared" si="10"/>
        <v/>
      </c>
      <c r="BA34" s="10" t="str" cm="1">
        <f t="array" ref="BA34">IFERROR(INDEX($AZ$28:$AZ$78,_xlfn.AGGREGATE(15,3,ROW($AZ$28:$AZ$78)-ROW($AN$27)/($AZ$28:$AZ$78&lt;&gt;""),ROWS($AN$28:AN34))),"")</f>
        <v/>
      </c>
      <c r="BB34" s="10"/>
      <c r="BC34" s="33"/>
    </row>
    <row r="35" spans="1:59">
      <c r="G35">
        <v>8</v>
      </c>
      <c r="H35" s="10">
        <f t="shared" si="15"/>
        <v>0</v>
      </c>
      <c r="I35" s="10">
        <f>SUM($H$28:H35)+M35</f>
        <v>189742.34503885399</v>
      </c>
      <c r="J35" s="10">
        <f t="shared" si="11"/>
        <v>0</v>
      </c>
      <c r="K35" s="10">
        <f t="shared" si="16"/>
        <v>384616.85901515925</v>
      </c>
      <c r="L35" s="10">
        <f t="shared" si="0"/>
        <v>441924.771008418</v>
      </c>
      <c r="M35" s="10">
        <f t="shared" si="1"/>
        <v>9742.3450388539877</v>
      </c>
      <c r="N35" s="10">
        <f t="shared" si="12"/>
        <v>432182.42596956401</v>
      </c>
      <c r="O35" s="7">
        <f t="shared" si="4"/>
        <v>2593.0945558173839</v>
      </c>
      <c r="P35" s="10">
        <f t="shared" si="5"/>
        <v>429589.33141374664</v>
      </c>
      <c r="U35">
        <v>8</v>
      </c>
      <c r="V35" s="10">
        <f t="shared" si="13"/>
        <v>9742.3450388539877</v>
      </c>
      <c r="W35" s="10">
        <f t="shared" si="14"/>
        <v>9742.3450388539877</v>
      </c>
      <c r="X35" s="10">
        <f t="shared" si="17"/>
        <v>416819.34151381016</v>
      </c>
      <c r="Y35" s="73">
        <f t="shared" si="18"/>
        <v>20840.967075690511</v>
      </c>
      <c r="Z35" s="73">
        <f t="shared" si="19"/>
        <v>5627.061110436438</v>
      </c>
      <c r="AA35" s="74">
        <f t="shared" si="20"/>
        <v>0</v>
      </c>
      <c r="AB35" s="73">
        <f t="shared" si="21"/>
        <v>471631.08492287615</v>
      </c>
      <c r="AC35" s="10">
        <f t="shared" si="22"/>
        <v>54811.743409065995</v>
      </c>
      <c r="AD35" s="10">
        <f>SUM($AC$28:AC35)</f>
        <v>246889.67385144508</v>
      </c>
      <c r="AE35" s="73">
        <f t="shared" si="6"/>
        <v>471.63108492287614</v>
      </c>
      <c r="AF35" s="73">
        <f t="shared" si="7"/>
        <v>9627.938889563562</v>
      </c>
      <c r="AG35" s="74">
        <f t="shared" si="8"/>
        <v>88716.869189396952</v>
      </c>
      <c r="AH35" s="10">
        <f t="shared" si="23"/>
        <v>372814.64575899276</v>
      </c>
      <c r="AO35" s="92"/>
      <c r="AP35" s="10"/>
      <c r="AQ35" s="73" t="str">
        <f t="shared" si="2"/>
        <v/>
      </c>
      <c r="AR35" s="80" t="str" cm="1">
        <f t="array" ref="AR35">IFERROR(INDEX($AQ$28:$AQ$78,_xlfn.AGGREGATE(15,3,ROW($AQ$28:$AQ$78)-ROW($AN$27)/($AQ$28:$AQ$78&lt;&gt;""),ROWS($AN$28:AN35))),"")</f>
        <v/>
      </c>
      <c r="AS35" s="73"/>
      <c r="AT35" s="73" t="str">
        <f t="shared" si="9"/>
        <v/>
      </c>
      <c r="AU35" s="85" t="str" cm="1">
        <f t="array" ref="AU35">IFERROR(INDEX($AT$28:$AT$78,_xlfn.AGGREGATE(15,3,ROW($AT$28:$AT$78)-ROW($AN$27)/($AT$28:$AT$78&lt;&gt;""),ROWS($AN$28:AN35))),"")</f>
        <v/>
      </c>
      <c r="AV35" s="10"/>
      <c r="AW35" s="10" t="str">
        <f t="shared" si="3"/>
        <v/>
      </c>
      <c r="AX35" s="90" t="str" cm="1">
        <f t="array" ref="AX35">IFERROR(INDEX($AW$28:$AW$78,_xlfn.AGGREGATE(15,3,ROW($AW$28:$AW$78)-ROW($AN$27)/($AW$28:$AW$78&lt;&gt;""),ROWS($AN$28:AN35))),"")</f>
        <v/>
      </c>
      <c r="AY35" s="10"/>
      <c r="AZ35" s="10" t="str">
        <f t="shared" si="10"/>
        <v/>
      </c>
      <c r="BA35" s="10" t="str" cm="1">
        <f t="array" ref="BA35">IFERROR(INDEX($AZ$28:$AZ$78,_xlfn.AGGREGATE(15,3,ROW($AZ$28:$AZ$78)-ROW($AN$27)/($AZ$28:$AZ$78&lt;&gt;""),ROWS($AN$28:AN35))),"")</f>
        <v/>
      </c>
      <c r="BB35" s="10"/>
      <c r="BC35" s="33"/>
    </row>
    <row r="36" spans="1:59">
      <c r="G36">
        <v>9</v>
      </c>
      <c r="H36" s="10">
        <f t="shared" si="15"/>
        <v>0</v>
      </c>
      <c r="I36" s="10">
        <f>SUM($H$28:H36)+M36</f>
        <v>191193.95444964324</v>
      </c>
      <c r="J36" s="10">
        <f t="shared" si="11"/>
        <v>0</v>
      </c>
      <c r="K36" s="10">
        <f t="shared" si="16"/>
        <v>441924.771008418</v>
      </c>
      <c r="L36" s="10">
        <f t="shared" si="0"/>
        <v>507771.5618886723</v>
      </c>
      <c r="M36" s="10">
        <f t="shared" si="1"/>
        <v>11193.954449643232</v>
      </c>
      <c r="N36" s="10">
        <f t="shared" si="12"/>
        <v>496577.60743902909</v>
      </c>
      <c r="O36" s="7">
        <f t="shared" si="4"/>
        <v>2979.4656446341746</v>
      </c>
      <c r="P36" s="10">
        <f t="shared" si="5"/>
        <v>493598.14179439493</v>
      </c>
      <c r="U36">
        <v>9</v>
      </c>
      <c r="V36" s="10">
        <f t="shared" si="13"/>
        <v>11193.954449643232</v>
      </c>
      <c r="W36" s="10">
        <f t="shared" si="14"/>
        <v>11193.954449643232</v>
      </c>
      <c r="X36" s="10">
        <f t="shared" si="17"/>
        <v>482825.03937251936</v>
      </c>
      <c r="Y36" s="73">
        <f t="shared" si="18"/>
        <v>24141.251968625969</v>
      </c>
      <c r="Z36" s="73">
        <f t="shared" si="19"/>
        <v>6518.1380315290126</v>
      </c>
      <c r="AA36" s="74">
        <f t="shared" si="20"/>
        <v>0</v>
      </c>
      <c r="AB36" s="73">
        <f t="shared" si="21"/>
        <v>546316.53205000563</v>
      </c>
      <c r="AC36" s="10">
        <f t="shared" si="22"/>
        <v>63491.492677486269</v>
      </c>
      <c r="AD36" s="10">
        <f>SUM($AC$28:AC36)</f>
        <v>310381.16652893135</v>
      </c>
      <c r="AE36" s="73">
        <f t="shared" si="6"/>
        <v>546.31653205000566</v>
      </c>
      <c r="AF36" s="73">
        <f t="shared" si="7"/>
        <v>8736.8619684709884</v>
      </c>
      <c r="AG36" s="74">
        <f t="shared" si="8"/>
        <v>116769.41576897408</v>
      </c>
      <c r="AH36" s="10">
        <f t="shared" si="23"/>
        <v>420263.93778051052</v>
      </c>
      <c r="AO36" s="92"/>
      <c r="AP36" s="10"/>
      <c r="AQ36" s="73" t="str">
        <f t="shared" si="2"/>
        <v/>
      </c>
      <c r="AR36" s="80" t="str" cm="1">
        <f t="array" ref="AR36">IFERROR(INDEX($AQ$28:$AQ$78,_xlfn.AGGREGATE(15,3,ROW($AQ$28:$AQ$78)-ROW($AN$27)/($AQ$28:$AQ$78&lt;&gt;""),ROWS($AN$28:AN36))),"")</f>
        <v/>
      </c>
      <c r="AS36" s="73"/>
      <c r="AT36" s="73" t="str">
        <f t="shared" si="9"/>
        <v/>
      </c>
      <c r="AU36" s="85" t="str" cm="1">
        <f t="array" ref="AU36">IFERROR(INDEX($AT$28:$AT$78,_xlfn.AGGREGATE(15,3,ROW($AT$28:$AT$78)-ROW($AN$27)/($AT$28:$AT$78&lt;&gt;""),ROWS($AN$28:AN36))),"")</f>
        <v/>
      </c>
      <c r="AV36" s="10"/>
      <c r="AW36" s="10" t="str">
        <f t="shared" si="3"/>
        <v/>
      </c>
      <c r="AX36" s="90" t="str" cm="1">
        <f t="array" ref="AX36">IFERROR(INDEX($AW$28:$AW$78,_xlfn.AGGREGATE(15,3,ROW($AW$28:$AW$78)-ROW($AN$27)/($AW$28:$AW$78&lt;&gt;""),ROWS($AN$28:AN36))),"")</f>
        <v/>
      </c>
      <c r="AY36" s="10"/>
      <c r="AZ36" s="10" t="str">
        <f t="shared" si="10"/>
        <v/>
      </c>
      <c r="BA36" s="10" t="str" cm="1">
        <f t="array" ref="BA36">IFERROR(INDEX($AZ$28:$AZ$78,_xlfn.AGGREGATE(15,3,ROW($AZ$28:$AZ$78)-ROW($AN$27)/($AZ$28:$AZ$78&lt;&gt;""),ROWS($AN$28:AN36))),"")</f>
        <v/>
      </c>
      <c r="BB36" s="10"/>
      <c r="BC36" s="33"/>
    </row>
    <row r="37" spans="1:59">
      <c r="G37">
        <v>10</v>
      </c>
      <c r="H37" s="10">
        <f t="shared" si="15"/>
        <v>0</v>
      </c>
      <c r="I37" s="10">
        <f>SUM($H$28:H37)+M37</f>
        <v>192861.85366264006</v>
      </c>
      <c r="J37" s="10">
        <f t="shared" si="11"/>
        <v>0</v>
      </c>
      <c r="K37" s="10">
        <f t="shared" si="16"/>
        <v>507771.5618886723</v>
      </c>
      <c r="L37" s="10">
        <f t="shared" si="0"/>
        <v>583429.52461008448</v>
      </c>
      <c r="M37" s="10">
        <f t="shared" si="1"/>
        <v>12861.853662640073</v>
      </c>
      <c r="N37" s="10">
        <f t="shared" si="12"/>
        <v>570567.67094744439</v>
      </c>
      <c r="O37" s="7">
        <f t="shared" si="4"/>
        <v>3423.406025684666</v>
      </c>
      <c r="P37" s="10">
        <f t="shared" si="5"/>
        <v>567144.26492175972</v>
      </c>
      <c r="U37">
        <v>10</v>
      </c>
      <c r="V37" s="10">
        <f t="shared" si="13"/>
        <v>12861.853662640073</v>
      </c>
      <c r="W37" s="10">
        <f t="shared" si="14"/>
        <v>12861.853662640073</v>
      </c>
      <c r="X37" s="10">
        <f t="shared" si="17"/>
        <v>559178.38571264572</v>
      </c>
      <c r="Y37" s="73">
        <f t="shared" si="18"/>
        <v>27958.919285632288</v>
      </c>
      <c r="Z37" s="73">
        <f t="shared" si="19"/>
        <v>7548.9082071207185</v>
      </c>
      <c r="AA37" s="74">
        <f t="shared" si="20"/>
        <v>0</v>
      </c>
      <c r="AB37" s="73">
        <f t="shared" si="21"/>
        <v>632710.34343385859</v>
      </c>
      <c r="AC37" s="10">
        <f t="shared" si="22"/>
        <v>73531.957721212879</v>
      </c>
      <c r="AD37" s="10">
        <f>SUM($AC$28:AC37)</f>
        <v>383913.12425014423</v>
      </c>
      <c r="AE37" s="73">
        <f t="shared" si="6"/>
        <v>632.71034343385861</v>
      </c>
      <c r="AF37" s="73">
        <f t="shared" si="7"/>
        <v>7706.0917928792824</v>
      </c>
      <c r="AG37" s="74">
        <f t="shared" si="8"/>
        <v>149256.25828502612</v>
      </c>
      <c r="AH37" s="10">
        <f t="shared" si="23"/>
        <v>475115.2830125193</v>
      </c>
      <c r="AO37" s="92"/>
      <c r="AP37" s="10"/>
      <c r="AQ37" s="73" t="str">
        <f t="shared" si="2"/>
        <v/>
      </c>
      <c r="AR37" s="80" t="str" cm="1">
        <f t="array" ref="AR37">IFERROR(INDEX($AQ$28:$AQ$78,_xlfn.AGGREGATE(15,3,ROW($AQ$28:$AQ$78)-ROW($AN$27)/($AQ$28:$AQ$78&lt;&gt;""),ROWS($AN$28:AN37))),"")</f>
        <v/>
      </c>
      <c r="AS37" s="73"/>
      <c r="AT37" s="73" t="str">
        <f t="shared" si="9"/>
        <v/>
      </c>
      <c r="AU37" s="85" t="str" cm="1">
        <f t="array" ref="AU37">IFERROR(INDEX($AT$28:$AT$78,_xlfn.AGGREGATE(15,3,ROW($AT$28:$AT$78)-ROW($AN$27)/($AT$28:$AT$78&lt;&gt;""),ROWS($AN$28:AN37))),"")</f>
        <v/>
      </c>
      <c r="AV37" s="10"/>
      <c r="AW37" s="10" t="str">
        <f t="shared" si="3"/>
        <v/>
      </c>
      <c r="AX37" s="90" t="str" cm="1">
        <f t="array" ref="AX37">IFERROR(INDEX($AW$28:$AW$78,_xlfn.AGGREGATE(15,3,ROW($AW$28:$AW$78)-ROW($AN$27)/($AW$28:$AW$78&lt;&gt;""),ROWS($AN$28:AN37))),"")</f>
        <v/>
      </c>
      <c r="AY37" s="10"/>
      <c r="AZ37" s="10" t="str">
        <f t="shared" si="10"/>
        <v/>
      </c>
      <c r="BA37" s="10" t="str" cm="1">
        <f t="array" ref="BA37">IFERROR(INDEX($AZ$28:$AZ$78,_xlfn.AGGREGATE(15,3,ROW($AZ$28:$AZ$78)-ROW($AN$27)/($AZ$28:$AZ$78&lt;&gt;""),ROWS($AN$28:AN37))),"")</f>
        <v/>
      </c>
      <c r="BB37" s="10"/>
      <c r="BC37" s="33"/>
      <c r="BE37" s="7"/>
    </row>
    <row r="38" spans="1:59">
      <c r="G38">
        <v>11</v>
      </c>
      <c r="H38" s="10">
        <f t="shared" si="15"/>
        <v>0</v>
      </c>
      <c r="I38" s="10">
        <f>SUM($H$28:H38)+M38</f>
        <v>194778.26985837345</v>
      </c>
      <c r="J38" s="10">
        <f t="shared" si="11"/>
        <v>0</v>
      </c>
      <c r="K38" s="10">
        <f t="shared" si="16"/>
        <v>583429.52461008448</v>
      </c>
      <c r="L38" s="10">
        <f t="shared" si="0"/>
        <v>670360.5237769871</v>
      </c>
      <c r="M38" s="10">
        <f t="shared" si="1"/>
        <v>14778.269858373447</v>
      </c>
      <c r="N38" s="10">
        <f t="shared" si="12"/>
        <v>655582.25391861366</v>
      </c>
      <c r="O38" s="7">
        <f t="shared" si="4"/>
        <v>3933.4935235116823</v>
      </c>
      <c r="P38" s="10">
        <f t="shared" si="5"/>
        <v>651648.76039510197</v>
      </c>
      <c r="U38">
        <v>11</v>
      </c>
      <c r="V38" s="10">
        <f t="shared" si="13"/>
        <v>14778.269858373447</v>
      </c>
      <c r="W38" s="10">
        <f t="shared" si="14"/>
        <v>14778.269858373447</v>
      </c>
      <c r="X38" s="10">
        <f t="shared" si="17"/>
        <v>647488.61329223204</v>
      </c>
      <c r="Y38" s="73">
        <f t="shared" si="18"/>
        <v>32374.430664611602</v>
      </c>
      <c r="Z38" s="73">
        <f t="shared" si="19"/>
        <v>8741.0962794451334</v>
      </c>
      <c r="AA38" s="74">
        <f t="shared" si="20"/>
        <v>0</v>
      </c>
      <c r="AB38" s="73">
        <f t="shared" si="21"/>
        <v>732633.36594016058</v>
      </c>
      <c r="AC38" s="10">
        <f t="shared" si="22"/>
        <v>85144.752647928544</v>
      </c>
      <c r="AD38" s="10">
        <f>SUM($AC$28:AC38)</f>
        <v>469057.87689807278</v>
      </c>
      <c r="AE38" s="73">
        <f t="shared" si="6"/>
        <v>732.63336594016062</v>
      </c>
      <c r="AF38" s="73">
        <f t="shared" si="7"/>
        <v>6513.9037205548675</v>
      </c>
      <c r="AG38" s="74">
        <f t="shared" si="8"/>
        <v>186871.56917632744</v>
      </c>
      <c r="AH38" s="10">
        <f t="shared" si="23"/>
        <v>538515.25967733806</v>
      </c>
      <c r="AO38" s="92"/>
      <c r="AP38" s="10"/>
      <c r="AQ38" s="73" t="str">
        <f t="shared" si="2"/>
        <v/>
      </c>
      <c r="AR38" s="80" t="str" cm="1">
        <f t="array" ref="AR38">IFERROR(INDEX($AQ$28:$AQ$78,_xlfn.AGGREGATE(15,3,ROW($AQ$28:$AQ$78)-ROW($AN$27)/($AQ$28:$AQ$78&lt;&gt;""),ROWS($AN$28:AN38))),"")</f>
        <v/>
      </c>
      <c r="AS38" s="73"/>
      <c r="AT38" s="73" t="str">
        <f t="shared" si="9"/>
        <v/>
      </c>
      <c r="AU38" s="85" t="str" cm="1">
        <f t="array" ref="AU38">IFERROR(INDEX($AT$28:$AT$78,_xlfn.AGGREGATE(15,3,ROW($AT$28:$AT$78)-ROW($AN$27)/($AT$28:$AT$78&lt;&gt;""),ROWS($AN$28:AN38))),"")</f>
        <v/>
      </c>
      <c r="AV38" s="10"/>
      <c r="AW38" s="10" t="str">
        <f t="shared" si="3"/>
        <v/>
      </c>
      <c r="AX38" s="90" t="str" cm="1">
        <f t="array" ref="AX38">IFERROR(INDEX($AW$28:$AW$78,_xlfn.AGGREGATE(15,3,ROW($AW$28:$AW$78)-ROW($AN$27)/($AW$28:$AW$78&lt;&gt;""),ROWS($AN$28:AN38))),"")</f>
        <v/>
      </c>
      <c r="AY38" s="10"/>
      <c r="AZ38" s="10" t="str">
        <f t="shared" si="10"/>
        <v/>
      </c>
      <c r="BA38" s="10" t="str" cm="1">
        <f t="array" ref="BA38">IFERROR(INDEX($AZ$28:$AZ$78,_xlfn.AGGREGATE(15,3,ROW($AZ$28:$AZ$78)-ROW($AN$27)/($AW$28:$AW$78&lt;&gt;""),ROWS($AN$28:AN38))),"")</f>
        <v/>
      </c>
      <c r="BB38" s="10"/>
      <c r="BC38" s="33"/>
    </row>
    <row r="39" spans="1:59">
      <c r="G39">
        <v>12</v>
      </c>
      <c r="H39" s="10">
        <f t="shared" si="15"/>
        <v>0</v>
      </c>
      <c r="I39" s="10">
        <f>SUM($H$28:H39)+M39</f>
        <v>196980.23206727108</v>
      </c>
      <c r="J39" s="10">
        <f t="shared" si="11"/>
        <v>0</v>
      </c>
      <c r="K39" s="10">
        <f t="shared" si="16"/>
        <v>670360.5237769871</v>
      </c>
      <c r="L39" s="10">
        <f t="shared" si="0"/>
        <v>770244.2418197582</v>
      </c>
      <c r="M39" s="10">
        <f t="shared" si="1"/>
        <v>16980.232067271088</v>
      </c>
      <c r="N39" s="10">
        <f t="shared" si="12"/>
        <v>753264.00975248707</v>
      </c>
      <c r="O39" s="7">
        <f t="shared" si="4"/>
        <v>4519.5840585149226</v>
      </c>
      <c r="P39" s="10">
        <f t="shared" si="5"/>
        <v>748744.42569397215</v>
      </c>
      <c r="U39">
        <v>12</v>
      </c>
      <c r="V39" s="10">
        <f t="shared" si="13"/>
        <v>16980.232067271088</v>
      </c>
      <c r="W39" s="10">
        <f t="shared" si="14"/>
        <v>16980.232067271088</v>
      </c>
      <c r="X39" s="10">
        <f t="shared" si="17"/>
        <v>749613.59800743172</v>
      </c>
      <c r="Y39" s="73">
        <f t="shared" si="18"/>
        <v>37480.679900371586</v>
      </c>
      <c r="Z39" s="73">
        <f t="shared" si="19"/>
        <v>10119.783573100329</v>
      </c>
      <c r="AA39" s="74">
        <f t="shared" si="20"/>
        <v>0</v>
      </c>
      <c r="AB39" s="73">
        <f t="shared" si="21"/>
        <v>848187.78614540899</v>
      </c>
      <c r="AC39" s="10">
        <f t="shared" si="22"/>
        <v>98574.188137977268</v>
      </c>
      <c r="AD39" s="10">
        <f>SUM($AC$28:AC39)</f>
        <v>567632.06503605004</v>
      </c>
      <c r="AE39" s="73">
        <f t="shared" si="6"/>
        <v>848.18778614540895</v>
      </c>
      <c r="AF39" s="73">
        <f t="shared" si="7"/>
        <v>5135.2164268996721</v>
      </c>
      <c r="AG39" s="74">
        <f t="shared" si="8"/>
        <v>230417.35287329709</v>
      </c>
      <c r="AH39" s="10">
        <f t="shared" si="23"/>
        <v>611787.0290590669</v>
      </c>
      <c r="AO39" s="92"/>
      <c r="AP39" s="10"/>
      <c r="AQ39" s="73" t="str">
        <f t="shared" si="2"/>
        <v/>
      </c>
      <c r="AR39" s="80" t="str" cm="1">
        <f t="array" ref="AR39">IFERROR(INDEX($AQ$28:$AQ$78,_xlfn.AGGREGATE(15,3,ROW($AQ$28:$AQ$78)-ROW($AN$27)/($AQ$28:$AQ$78&lt;&gt;""),ROWS($AN$28:AN39))),"")</f>
        <v/>
      </c>
      <c r="AS39" s="73"/>
      <c r="AT39" s="73" t="str">
        <f t="shared" si="9"/>
        <v/>
      </c>
      <c r="AU39" s="85" t="str" cm="1">
        <f t="array" ref="AU39">IFERROR(INDEX($AT$28:$AT$78,_xlfn.AGGREGATE(15,3,ROW($AT$28:$AT$78)-ROW($AN$27)/($AT$28:$AT$78&lt;&gt;""),ROWS($AN$28:AN39))),"")</f>
        <v/>
      </c>
      <c r="AV39" s="10"/>
      <c r="AW39" s="10" t="str">
        <f t="shared" si="3"/>
        <v/>
      </c>
      <c r="AX39" s="90" t="str" cm="1">
        <f t="array" ref="AX39">IFERROR(INDEX($AW$28:$AW$78,_xlfn.AGGREGATE(15,3,ROW($AW$28:$AW$78)-ROW($AN$27)/($AW$28:$AW$78&lt;&gt;""),ROWS($AN$28:AN39))),"")</f>
        <v/>
      </c>
      <c r="AY39" s="10"/>
      <c r="AZ39" s="10" t="str">
        <f t="shared" si="10"/>
        <v/>
      </c>
      <c r="BA39" s="10" t="str" cm="1">
        <f t="array" ref="BA39">IFERROR(INDEX($AZ$28:$AZ$78,_xlfn.AGGREGATE(15,3,ROW($AZ$28:$AZ$78)-ROW($AN$27)/($AW$28:$AW$78&lt;&gt;""),ROWS($AN$28:AN39))),"")</f>
        <v/>
      </c>
      <c r="BB39" s="10"/>
      <c r="BC39" s="33"/>
    </row>
    <row r="40" spans="1:59">
      <c r="G40">
        <v>13</v>
      </c>
      <c r="H40" s="10">
        <f t="shared" si="15"/>
        <v>0</v>
      </c>
      <c r="I40" s="10">
        <f>SUM($H$28:H40)+M40</f>
        <v>199510.28664529449</v>
      </c>
      <c r="J40" s="10">
        <f t="shared" si="11"/>
        <v>0</v>
      </c>
      <c r="K40" s="10">
        <f t="shared" si="16"/>
        <v>770244.2418197582</v>
      </c>
      <c r="L40" s="10">
        <f t="shared" si="0"/>
        <v>885010.6338509022</v>
      </c>
      <c r="M40" s="10">
        <f t="shared" si="1"/>
        <v>19510.28664529448</v>
      </c>
      <c r="N40" s="10">
        <f t="shared" si="12"/>
        <v>865500.34720560769</v>
      </c>
      <c r="O40" s="7">
        <f t="shared" si="4"/>
        <v>5193.0020832336459</v>
      </c>
      <c r="P40" s="10">
        <f t="shared" si="5"/>
        <v>860307.34512237401</v>
      </c>
      <c r="U40">
        <v>13</v>
      </c>
      <c r="V40" s="10">
        <f t="shared" si="13"/>
        <v>19510.28664529448</v>
      </c>
      <c r="W40" s="10">
        <f t="shared" si="14"/>
        <v>19510.28664529448</v>
      </c>
      <c r="X40" s="10">
        <f t="shared" si="17"/>
        <v>867698.0727907035</v>
      </c>
      <c r="Y40" s="73">
        <f t="shared" si="18"/>
        <v>43384.90363953518</v>
      </c>
      <c r="Z40" s="73">
        <f t="shared" si="19"/>
        <v>11713.9239826745</v>
      </c>
      <c r="AA40" s="74">
        <f t="shared" si="20"/>
        <v>0</v>
      </c>
      <c r="AB40" s="73">
        <f t="shared" si="21"/>
        <v>981800.36936268106</v>
      </c>
      <c r="AC40" s="10">
        <f t="shared" si="22"/>
        <v>114102.29657197755</v>
      </c>
      <c r="AD40" s="10">
        <f>SUM($AC$28:AC40)</f>
        <v>681734.3616080276</v>
      </c>
      <c r="AE40" s="73">
        <f t="shared" si="6"/>
        <v>981.80036936268107</v>
      </c>
      <c r="AF40" s="73">
        <f t="shared" si="7"/>
        <v>3541.0760173255017</v>
      </c>
      <c r="AG40" s="74">
        <f t="shared" si="8"/>
        <v>280820.09140397637</v>
      </c>
      <c r="AH40" s="10">
        <f t="shared" si="23"/>
        <v>696457.40157201653</v>
      </c>
      <c r="AO40" s="92"/>
      <c r="AP40" s="10"/>
      <c r="AQ40" s="73" t="str">
        <f t="shared" si="2"/>
        <v/>
      </c>
      <c r="AR40" s="80" t="str" cm="1">
        <f t="array" ref="AR40">IFERROR(INDEX($AQ$28:$AQ$78,_xlfn.AGGREGATE(15,3,ROW($AQ$28:$AQ$78)-ROW($AN$27)/($AQ$28:$AQ$78&lt;&gt;""),ROWS($AN$28:AN40))),"")</f>
        <v/>
      </c>
      <c r="AS40" s="73"/>
      <c r="AT40" s="73" t="str">
        <f t="shared" si="9"/>
        <v/>
      </c>
      <c r="AU40" s="85" t="str" cm="1">
        <f t="array" ref="AU40">IFERROR(INDEX($AT$28:$AT$78,_xlfn.AGGREGATE(15,3,ROW($AT$28:$AT$78)-ROW($AN$27)/($AT$28:$AT$78&lt;&gt;""),ROWS($AN$28:AN40))),"")</f>
        <v/>
      </c>
      <c r="AV40" s="10"/>
      <c r="AW40" s="10" t="str">
        <f t="shared" si="3"/>
        <v/>
      </c>
      <c r="AX40" s="90" t="str" cm="1">
        <f t="array" ref="AX40">IFERROR(INDEX($AW$28:$AW$78,_xlfn.AGGREGATE(15,3,ROW($AW$28:$AW$78)-ROW($AN$27)/($AW$28:$AW$78&lt;&gt;""),ROWS($AN$28:AN40))),"")</f>
        <v/>
      </c>
      <c r="AY40" s="10"/>
      <c r="AZ40" s="10" t="str">
        <f t="shared" si="10"/>
        <v/>
      </c>
      <c r="BA40" s="10" t="str" cm="1">
        <f t="array" ref="BA40">IFERROR(INDEX($AZ$28:$AZ$78,_xlfn.AGGREGATE(15,3,ROW($AZ$28:$AZ$78)-ROW($AN$27)/($AW$28:$AW$78&lt;&gt;""),ROWS($AN$28:AN40))),"")</f>
        <v/>
      </c>
      <c r="BB40" s="10"/>
      <c r="BC40" s="33"/>
    </row>
    <row r="41" spans="1:59">
      <c r="G41">
        <v>14</v>
      </c>
      <c r="H41" s="10">
        <f t="shared" si="15"/>
        <v>0</v>
      </c>
      <c r="I41" s="10">
        <f>SUM($H$28:H41)+M41</f>
        <v>202417.31935544335</v>
      </c>
      <c r="J41" s="10">
        <f t="shared" si="11"/>
        <v>0</v>
      </c>
      <c r="K41" s="10">
        <f t="shared" si="16"/>
        <v>885010.6338509022</v>
      </c>
      <c r="L41" s="10">
        <f t="shared" si="0"/>
        <v>1016877.2182946866</v>
      </c>
      <c r="M41" s="10">
        <f t="shared" si="1"/>
        <v>22417.319355443356</v>
      </c>
      <c r="N41" s="10">
        <f t="shared" si="12"/>
        <v>994459.89893924328</v>
      </c>
      <c r="O41" s="7">
        <f t="shared" si="4"/>
        <v>5966.7593936354597</v>
      </c>
      <c r="P41" s="10">
        <f t="shared" si="5"/>
        <v>988493.13954560785</v>
      </c>
      <c r="U41">
        <v>14</v>
      </c>
      <c r="V41" s="10">
        <f t="shared" si="13"/>
        <v>22417.319355443356</v>
      </c>
      <c r="W41" s="10">
        <f t="shared" si="14"/>
        <v>22417.319355443356</v>
      </c>
      <c r="X41" s="10">
        <f t="shared" si="17"/>
        <v>1004217.6887181244</v>
      </c>
      <c r="Y41" s="73">
        <f t="shared" si="18"/>
        <v>50210.88443590622</v>
      </c>
      <c r="Z41" s="73">
        <f t="shared" si="19"/>
        <v>13556.93879769468</v>
      </c>
      <c r="AA41" s="74">
        <f t="shared" si="20"/>
        <v>0</v>
      </c>
      <c r="AB41" s="73">
        <f t="shared" si="21"/>
        <v>1136272.3147845576</v>
      </c>
      <c r="AC41" s="10">
        <f t="shared" si="22"/>
        <v>132054.62606643315</v>
      </c>
      <c r="AD41" s="10">
        <f>SUM($AC$28:AC41)</f>
        <v>813788.98767446075</v>
      </c>
      <c r="AE41" s="73">
        <f t="shared" si="6"/>
        <v>1136.2723147845577</v>
      </c>
      <c r="AF41" s="73">
        <f t="shared" si="7"/>
        <v>1698.0612023053206</v>
      </c>
      <c r="AG41" s="74">
        <f t="shared" si="8"/>
        <v>339149.9462863541</v>
      </c>
      <c r="AH41" s="10">
        <f t="shared" si="23"/>
        <v>794288.03498111351</v>
      </c>
      <c r="AO41" s="92"/>
      <c r="AP41" s="10"/>
      <c r="AQ41" s="73" t="str">
        <f t="shared" si="2"/>
        <v/>
      </c>
      <c r="AR41" s="80" t="str" cm="1">
        <f t="array" ref="AR41">IFERROR(INDEX($AQ$28:$AQ$78,_xlfn.AGGREGATE(15,3,ROW($AQ$28:$AQ$78)-ROW($AN$27)/($AQ$28:$AQ$78&lt;&gt;""),ROWS($AN$28:AN41))),"")</f>
        <v/>
      </c>
      <c r="AS41" s="73"/>
      <c r="AT41" s="73" t="str">
        <f t="shared" si="9"/>
        <v/>
      </c>
      <c r="AU41" s="85" t="str" cm="1">
        <f t="array" ref="AU41">IFERROR(INDEX($AT$28:$AT$78,_xlfn.AGGREGATE(15,3,ROW($AT$28:$AT$78)-ROW($AN$27)/($AT$28:$AT$78&lt;&gt;""),ROWS($AN$28:AN41))),"")</f>
        <v/>
      </c>
      <c r="AV41" s="10"/>
      <c r="AW41" s="10" t="str">
        <f t="shared" si="3"/>
        <v/>
      </c>
      <c r="AX41" s="90" t="str" cm="1">
        <f t="array" ref="AX41">IFERROR(INDEX($AW$28:$AW$78,_xlfn.AGGREGATE(15,3,ROW($AW$28:$AW$78)-ROW($AN$27)/($AW$28:$AW$78&lt;&gt;""),ROWS($AN$28:AN41))),"")</f>
        <v/>
      </c>
      <c r="AY41" s="10"/>
      <c r="AZ41" s="10" t="str">
        <f t="shared" si="10"/>
        <v/>
      </c>
      <c r="BA41" s="10" t="str" cm="1">
        <f t="array" ref="BA41">IFERROR(INDEX($AZ$28:$AZ$78,_xlfn.AGGREGATE(15,3,ROW($AZ$28:$AZ$78)-ROW($AN$27)/($AW$28:$AW$78&lt;&gt;""),ROWS($AN$28:AN41))),"")</f>
        <v/>
      </c>
      <c r="BB41" s="10"/>
      <c r="BC41" s="33"/>
    </row>
    <row r="42" spans="1:59">
      <c r="G42">
        <v>15</v>
      </c>
      <c r="H42" s="10">
        <f t="shared" si="15"/>
        <v>0</v>
      </c>
      <c r="I42" s="10">
        <f>SUM($H$28:H42)+M42</f>
        <v>205757.49993940443</v>
      </c>
      <c r="J42" s="10">
        <f t="shared" si="11"/>
        <v>0</v>
      </c>
      <c r="K42" s="10">
        <f t="shared" si="16"/>
        <v>1016877.2182946866</v>
      </c>
      <c r="L42" s="10">
        <f t="shared" si="0"/>
        <v>1168391.923820595</v>
      </c>
      <c r="M42" s="10">
        <f t="shared" si="1"/>
        <v>25757.499939404428</v>
      </c>
      <c r="N42" s="10">
        <f t="shared" si="12"/>
        <v>1142634.4238811906</v>
      </c>
      <c r="O42" s="7">
        <f t="shared" si="4"/>
        <v>6855.8065432871435</v>
      </c>
      <c r="P42" s="10">
        <f t="shared" si="5"/>
        <v>1135778.6173379035</v>
      </c>
      <c r="U42">
        <v>15</v>
      </c>
      <c r="V42" s="10">
        <f t="shared" si="13"/>
        <v>25757.499939404428</v>
      </c>
      <c r="W42" s="10">
        <f t="shared" si="14"/>
        <v>25757.499939404428</v>
      </c>
      <c r="X42" s="10">
        <f t="shared" si="17"/>
        <v>1162029.814723962</v>
      </c>
      <c r="Y42" s="73">
        <f t="shared" si="18"/>
        <v>58101.490736198102</v>
      </c>
      <c r="Z42" s="73">
        <f t="shared" si="19"/>
        <v>15255.000000000002</v>
      </c>
      <c r="AA42" s="74">
        <f t="shared" si="20"/>
        <v>672.62610920320287</v>
      </c>
      <c r="AB42" s="73">
        <f t="shared" si="21"/>
        <v>1314596.5117497332</v>
      </c>
      <c r="AC42" s="10">
        <f t="shared" si="22"/>
        <v>152566.69702577125</v>
      </c>
      <c r="AD42" s="10">
        <f>SUM($AC$28:AC42)</f>
        <v>966355.684700232</v>
      </c>
      <c r="AE42" s="73">
        <f t="shared" si="6"/>
        <v>1314.5965117497333</v>
      </c>
      <c r="AF42" s="73">
        <f t="shared" si="7"/>
        <v>0</v>
      </c>
      <c r="AG42" s="74">
        <f t="shared" si="8"/>
        <v>405869.38757409743</v>
      </c>
      <c r="AH42" s="10">
        <f t="shared" si="23"/>
        <v>907412.52766388608</v>
      </c>
      <c r="AO42" s="92"/>
      <c r="AP42" s="10"/>
      <c r="AQ42" s="73" t="str">
        <f t="shared" si="2"/>
        <v/>
      </c>
      <c r="AR42" s="80" t="str" cm="1">
        <f t="array" ref="AR42">IFERROR(INDEX($AQ$28:$AQ$78,_xlfn.AGGREGATE(15,3,ROW($AQ$28:$AQ$78)-ROW($AN$27)/($AQ$28:$AQ$78&lt;&gt;""),ROWS($AN$28:AN42))),"")</f>
        <v/>
      </c>
      <c r="AS42" s="73"/>
      <c r="AT42" s="73" t="str">
        <f t="shared" si="9"/>
        <v/>
      </c>
      <c r="AU42" s="85" t="str" cm="1">
        <f t="array" ref="AU42">IFERROR(INDEX($AT$28:$AT$78,_xlfn.AGGREGATE(15,3,ROW($AT$28:$AT$78)-ROW($AN$27)/($AT$28:$AT$78&lt;&gt;""),ROWS($AN$28:AN42))),"")</f>
        <v/>
      </c>
      <c r="AV42" s="10"/>
      <c r="AW42" s="10" t="str">
        <f t="shared" si="3"/>
        <v/>
      </c>
      <c r="AX42" s="90" t="str" cm="1">
        <f t="array" ref="AX42">IFERROR(INDEX($AW$28:$AW$78,_xlfn.AGGREGATE(15,3,ROW($AW$28:$AW$78)-ROW($AN$27)/($AW$28:$AW$78&lt;&gt;""),ROWS($AN$28:AN42))),"")</f>
        <v/>
      </c>
      <c r="AY42" s="10"/>
      <c r="AZ42" s="10" t="str">
        <f t="shared" si="10"/>
        <v/>
      </c>
      <c r="BA42" s="10" t="str" cm="1">
        <f t="array" ref="BA42">IFERROR(INDEX($AZ$28:$AZ$78,_xlfn.AGGREGATE(15,3,ROW($AZ$28:$AZ$78)-ROW($AN$27)/($AW$28:$AW$78&lt;&gt;""),ROWS($AN$28:AN42))),"")</f>
        <v/>
      </c>
      <c r="BB42" s="10"/>
      <c r="BC42" s="33"/>
    </row>
    <row r="43" spans="1:59">
      <c r="G43">
        <v>16</v>
      </c>
      <c r="H43" s="10">
        <f t="shared" si="15"/>
        <v>0</v>
      </c>
      <c r="I43" s="10">
        <f>SUM($H$28:H43)+M43</f>
        <v>209595.36743037569</v>
      </c>
      <c r="J43" s="10">
        <f t="shared" si="11"/>
        <v>0</v>
      </c>
      <c r="K43" s="10">
        <f t="shared" si="16"/>
        <v>1168391.923820595</v>
      </c>
      <c r="L43" s="10">
        <f t="shared" si="0"/>
        <v>1342482.3204698637</v>
      </c>
      <c r="M43" s="10">
        <f t="shared" si="1"/>
        <v>29595.367430375678</v>
      </c>
      <c r="N43" s="10">
        <f t="shared" si="12"/>
        <v>1312886.9530394881</v>
      </c>
      <c r="O43" s="7">
        <f t="shared" si="4"/>
        <v>7877.3217182369281</v>
      </c>
      <c r="P43" s="10">
        <f t="shared" si="5"/>
        <v>1305009.6313212512</v>
      </c>
      <c r="U43">
        <v>16</v>
      </c>
      <c r="V43" s="10">
        <f t="shared" si="13"/>
        <v>29595.367430375678</v>
      </c>
      <c r="W43" s="10">
        <f t="shared" si="14"/>
        <v>29595.367430375678</v>
      </c>
      <c r="X43" s="10">
        <f t="shared" si="17"/>
        <v>1344191.8791801089</v>
      </c>
      <c r="Y43" s="73">
        <f t="shared" si="18"/>
        <v>67209.593959005448</v>
      </c>
      <c r="Z43" s="73">
        <f t="shared" si="19"/>
        <v>15255.000000000002</v>
      </c>
      <c r="AA43" s="74">
        <f t="shared" si="20"/>
        <v>4498.0294627822877</v>
      </c>
      <c r="AB43" s="73">
        <f t="shared" si="21"/>
        <v>1519346.6721984423</v>
      </c>
      <c r="AC43" s="10">
        <f t="shared" si="22"/>
        <v>175154.79301833338</v>
      </c>
      <c r="AD43" s="10">
        <f>SUM($AC$28:AC43)</f>
        <v>1141510.4777185654</v>
      </c>
      <c r="AE43" s="73">
        <f t="shared" si="6"/>
        <v>1519.3466721984423</v>
      </c>
      <c r="AF43" s="73">
        <f t="shared" si="7"/>
        <v>0</v>
      </c>
      <c r="AG43" s="74">
        <f t="shared" si="8"/>
        <v>479434.40064179746</v>
      </c>
      <c r="AH43" s="10">
        <f t="shared" si="23"/>
        <v>1038392.9248844463</v>
      </c>
      <c r="AO43" s="92"/>
      <c r="AP43" s="10"/>
      <c r="AQ43" s="73" t="str">
        <f t="shared" si="2"/>
        <v/>
      </c>
      <c r="AR43" s="80" t="str" cm="1">
        <f t="array" ref="AR43">IFERROR(INDEX($AQ$28:$AQ$78,_xlfn.AGGREGATE(15,3,ROW($AQ$28:$AQ$78)-ROW($AN$27)/($AQ$28:$AQ$78&lt;&gt;""),ROWS($AN$28:AN43))),"")</f>
        <v/>
      </c>
      <c r="AS43" s="73"/>
      <c r="AT43" s="73" t="str">
        <f t="shared" si="9"/>
        <v/>
      </c>
      <c r="AU43" s="85" t="str" cm="1">
        <f t="array" ref="AU43">IFERROR(INDEX($AT$28:$AT$78,_xlfn.AGGREGATE(15,3,ROW($AT$28:$AT$78)-ROW($AN$27)/($AT$28:$AT$78&lt;&gt;""),ROWS($AN$28:AN43))),"")</f>
        <v/>
      </c>
      <c r="AV43" s="10"/>
      <c r="AW43" s="10" t="str">
        <f t="shared" si="3"/>
        <v/>
      </c>
      <c r="AX43" s="90" t="str" cm="1">
        <f t="array" ref="AX43">IFERROR(INDEX($AW$28:$AW$78,_xlfn.AGGREGATE(15,3,ROW($AW$28:$AW$78)-ROW($AN$27)/($AW$28:$AW$78&lt;&gt;""),ROWS($AN$28:AN43))),"")</f>
        <v/>
      </c>
      <c r="AY43" s="10"/>
      <c r="AZ43" s="10" t="str">
        <f t="shared" si="10"/>
        <v/>
      </c>
      <c r="BA43" s="10" t="str" cm="1">
        <f t="array" ref="BA43">IFERROR(INDEX($AZ$28:$AZ$78,_xlfn.AGGREGATE(15,3,ROW($AZ$28:$AZ$78)-ROW($AN$27)/($AW$28:$AW$78&lt;&gt;""),ROWS($AN$28:AN43))),"")</f>
        <v/>
      </c>
      <c r="BB43" s="10"/>
      <c r="BC43" s="33"/>
      <c r="BG43" s="23"/>
    </row>
    <row r="44" spans="1:59">
      <c r="G44">
        <v>17</v>
      </c>
      <c r="H44" s="10">
        <f t="shared" si="15"/>
        <v>0</v>
      </c>
      <c r="I44" s="10">
        <f>SUM($H$28:H44)+M44</f>
        <v>214005.07717750163</v>
      </c>
      <c r="J44" s="10">
        <f t="shared" si="11"/>
        <v>0</v>
      </c>
      <c r="K44" s="10">
        <f t="shared" si="16"/>
        <v>1342482.3204698637</v>
      </c>
      <c r="L44" s="10">
        <f t="shared" si="0"/>
        <v>1542512.1862198734</v>
      </c>
      <c r="M44" s="10">
        <f t="shared" si="1"/>
        <v>34005.077177501647</v>
      </c>
      <c r="N44" s="10">
        <f t="shared" si="12"/>
        <v>1508507.1090423716</v>
      </c>
      <c r="O44" s="7">
        <f t="shared" si="4"/>
        <v>9051.04265425423</v>
      </c>
      <c r="P44" s="10">
        <f t="shared" si="5"/>
        <v>1499456.0663881174</v>
      </c>
      <c r="U44">
        <v>17</v>
      </c>
      <c r="V44" s="10">
        <f t="shared" si="13"/>
        <v>34005.077177501647</v>
      </c>
      <c r="W44" s="10">
        <f t="shared" si="14"/>
        <v>34005.077177501647</v>
      </c>
      <c r="X44" s="10">
        <f t="shared" si="17"/>
        <v>1553351.749375944</v>
      </c>
      <c r="Y44" s="73">
        <f t="shared" si="18"/>
        <v>77667.58746879721</v>
      </c>
      <c r="Z44" s="73">
        <f t="shared" si="19"/>
        <v>15255.000000000002</v>
      </c>
      <c r="AA44" s="74">
        <f t="shared" si="20"/>
        <v>8890.3867368948286</v>
      </c>
      <c r="AB44" s="73">
        <f t="shared" si="21"/>
        <v>1754442.366298561</v>
      </c>
      <c r="AC44" s="10">
        <f t="shared" si="22"/>
        <v>201090.61692261696</v>
      </c>
      <c r="AD44" s="10">
        <f>SUM($AC$28:AC44)</f>
        <v>1342601.0946411823</v>
      </c>
      <c r="AE44" s="73">
        <f t="shared" si="6"/>
        <v>1754.442366298561</v>
      </c>
      <c r="AF44" s="73">
        <f t="shared" si="7"/>
        <v>0</v>
      </c>
      <c r="AG44" s="74">
        <f t="shared" si="8"/>
        <v>563892.45974929654</v>
      </c>
      <c r="AH44" s="10">
        <f t="shared" si="23"/>
        <v>1188795.4641829659</v>
      </c>
      <c r="AO44" s="92"/>
      <c r="AP44" s="10"/>
      <c r="AQ44" s="73" t="str">
        <f t="shared" si="2"/>
        <v/>
      </c>
      <c r="AR44" s="80" t="str" cm="1">
        <f t="array" ref="AR44">IFERROR(INDEX($AQ$28:$AQ$78,_xlfn.AGGREGATE(15,3,ROW($AQ$28:$AQ$78)-ROW($AN$27)/($AQ$28:$AQ$78&lt;&gt;""),ROWS($AN$28:AN44))),"")</f>
        <v/>
      </c>
      <c r="AS44" s="73"/>
      <c r="AT44" s="73" t="str">
        <f t="shared" si="9"/>
        <v/>
      </c>
      <c r="AU44" s="85" t="str" cm="1">
        <f t="array" ref="AU44">IFERROR(INDEX($AT$28:$AT$78,_xlfn.AGGREGATE(15,3,ROW($AT$28:$AT$78)-ROW($AN$27)/($AT$28:$AT$78&lt;&gt;""),ROWS($AN$28:AN44))),"")</f>
        <v/>
      </c>
      <c r="AV44" s="10"/>
      <c r="AW44" s="10" t="str">
        <f t="shared" si="3"/>
        <v/>
      </c>
      <c r="AX44" s="90" t="str" cm="1">
        <f t="array" ref="AX44">IFERROR(INDEX($AW$28:$AW$78,_xlfn.AGGREGATE(15,3,ROW($AW$28:$AW$78)-ROW($AN$27)/($AW$28:$AW$78&lt;&gt;""),ROWS($AN$28:AN44))),"")</f>
        <v/>
      </c>
      <c r="AY44" s="10"/>
      <c r="AZ44" s="10" t="str">
        <f t="shared" si="10"/>
        <v/>
      </c>
      <c r="BA44" s="10" t="str" cm="1">
        <f t="array" ref="BA44">IFERROR(INDEX($AZ$28:$AZ$78,_xlfn.AGGREGATE(15,3,ROW($AZ$28:$AZ$78)-ROW($AN$27)/($AW$28:$AW$78&lt;&gt;""),ROWS($AN$28:AN44))),"")</f>
        <v/>
      </c>
      <c r="BB44" s="10"/>
      <c r="BC44" s="33"/>
    </row>
    <row r="45" spans="1:59">
      <c r="G45">
        <v>18</v>
      </c>
      <c r="H45" s="10">
        <f t="shared" si="15"/>
        <v>0</v>
      </c>
      <c r="I45" s="10">
        <f>SUM($H$28:H45)+M45</f>
        <v>219071.83367694941</v>
      </c>
      <c r="J45" s="10">
        <f t="shared" si="11"/>
        <v>0</v>
      </c>
      <c r="K45" s="10">
        <f t="shared" si="16"/>
        <v>1542512.1862198734</v>
      </c>
      <c r="L45" s="10">
        <f t="shared" si="0"/>
        <v>1772346.5019666345</v>
      </c>
      <c r="M45" s="10">
        <f t="shared" si="1"/>
        <v>39071.833676949398</v>
      </c>
      <c r="N45" s="10">
        <f t="shared" si="12"/>
        <v>1733274.6682896852</v>
      </c>
      <c r="O45" s="7">
        <f t="shared" si="4"/>
        <v>10399.648009738112</v>
      </c>
      <c r="P45" s="10">
        <f t="shared" si="5"/>
        <v>1722875.020279947</v>
      </c>
      <c r="U45">
        <v>18</v>
      </c>
      <c r="V45" s="10">
        <f t="shared" si="13"/>
        <v>39071.833676949398</v>
      </c>
      <c r="W45" s="10">
        <f t="shared" si="14"/>
        <v>39071.833676949398</v>
      </c>
      <c r="X45" s="10">
        <f t="shared" si="17"/>
        <v>1793514.1999755104</v>
      </c>
      <c r="Y45" s="73">
        <f t="shared" si="18"/>
        <v>89675.709998775521</v>
      </c>
      <c r="Z45" s="73">
        <f t="shared" si="19"/>
        <v>15255.000000000002</v>
      </c>
      <c r="AA45" s="74">
        <f t="shared" si="20"/>
        <v>13933.798199485718</v>
      </c>
      <c r="AB45" s="73">
        <f t="shared" si="21"/>
        <v>2024384.9607724736</v>
      </c>
      <c r="AC45" s="10">
        <f t="shared" si="22"/>
        <v>230870.76079696324</v>
      </c>
      <c r="AD45" s="10">
        <f>SUM($AC$28:AC45)</f>
        <v>1573471.8554381456</v>
      </c>
      <c r="AE45" s="73">
        <f t="shared" si="6"/>
        <v>2024.3849607724737</v>
      </c>
      <c r="AF45" s="73">
        <f t="shared" si="7"/>
        <v>0</v>
      </c>
      <c r="AG45" s="74">
        <f t="shared" si="8"/>
        <v>660858.17928402114</v>
      </c>
      <c r="AH45" s="10">
        <f t="shared" si="23"/>
        <v>1361502.3965276801</v>
      </c>
      <c r="AO45" s="92"/>
      <c r="AP45" s="10"/>
      <c r="AQ45" s="73" t="str">
        <f t="shared" si="2"/>
        <v/>
      </c>
      <c r="AR45" s="80" t="str" cm="1">
        <f t="array" ref="AR45">IFERROR(INDEX($AQ$28:$AQ$78,_xlfn.AGGREGATE(15,3,ROW($AQ$28:$AQ$78)-ROW($AN$27)/($AQ$28:$AQ$78&lt;&gt;""),ROWS($AN$28:AN45))),"")</f>
        <v/>
      </c>
      <c r="AS45" s="73"/>
      <c r="AT45" s="73" t="str">
        <f t="shared" si="9"/>
        <v/>
      </c>
      <c r="AU45" s="85" t="str" cm="1">
        <f t="array" ref="AU45">IFERROR(INDEX($AT$28:$AT$78,_xlfn.AGGREGATE(15,3,ROW($AT$28:$AT$78)-ROW($AN$27)/($AT$28:$AT$78&lt;&gt;""),ROWS($AN$28:AN45))),"")</f>
        <v/>
      </c>
      <c r="AV45" s="10"/>
      <c r="AW45" s="10" t="str">
        <f t="shared" si="3"/>
        <v/>
      </c>
      <c r="AX45" s="90" t="str" cm="1">
        <f t="array" ref="AX45">IFERROR(INDEX($AW$28:$AW$78,_xlfn.AGGREGATE(15,3,ROW($AW$28:$AW$78)-ROW($AN$27)/($AW$28:$AW$78&lt;&gt;""),ROWS($AN$28:AN45))),"")</f>
        <v/>
      </c>
      <c r="AY45" s="10"/>
      <c r="AZ45" s="10" t="str">
        <f t="shared" si="10"/>
        <v/>
      </c>
      <c r="BA45" s="10" t="str" cm="1">
        <f t="array" ref="BA45">IFERROR(INDEX($AZ$28:$AZ$78,_xlfn.AGGREGATE(15,3,ROW($AZ$28:$AZ$78)-ROW($AN$27)/($AW$28:$AW$78&lt;&gt;""),ROWS($AN$28:AN45))),"")</f>
        <v/>
      </c>
      <c r="BB45" s="10"/>
      <c r="BC45" s="33"/>
    </row>
    <row r="46" spans="1:59">
      <c r="G46">
        <v>19</v>
      </c>
      <c r="H46" s="10">
        <f t="shared" si="15"/>
        <v>0</v>
      </c>
      <c r="I46" s="10">
        <f>SUM($H$28:H46)+M46</f>
        <v>224893.53689481487</v>
      </c>
      <c r="J46" s="10">
        <f t="shared" si="11"/>
        <v>0</v>
      </c>
      <c r="K46" s="10">
        <f t="shared" si="16"/>
        <v>1772346.5019666345</v>
      </c>
      <c r="L46" s="10">
        <f t="shared" si="0"/>
        <v>2036426.1307596632</v>
      </c>
      <c r="M46" s="10">
        <f t="shared" si="1"/>
        <v>44893.536894814875</v>
      </c>
      <c r="N46" s="10">
        <f t="shared" si="12"/>
        <v>1991532.5938648484</v>
      </c>
      <c r="O46" s="7">
        <f t="shared" si="4"/>
        <v>11949.195563189089</v>
      </c>
      <c r="P46" s="10">
        <f t="shared" si="5"/>
        <v>1979583.3983016594</v>
      </c>
      <c r="U46">
        <v>19</v>
      </c>
      <c r="V46" s="10">
        <f t="shared" si="13"/>
        <v>44893.536894814875</v>
      </c>
      <c r="W46" s="10">
        <f t="shared" si="14"/>
        <v>44893.536894814875</v>
      </c>
      <c r="X46" s="10">
        <f t="shared" si="17"/>
        <v>2069278.4976672884</v>
      </c>
      <c r="Y46" s="73">
        <f t="shared" si="18"/>
        <v>103463.92488336442</v>
      </c>
      <c r="Z46" s="73">
        <f t="shared" si="19"/>
        <v>15255.000000000002</v>
      </c>
      <c r="AA46" s="74">
        <f t="shared" si="20"/>
        <v>19724.848451013058</v>
      </c>
      <c r="AB46" s="73">
        <f t="shared" si="21"/>
        <v>2334344.0313780322</v>
      </c>
      <c r="AC46" s="10">
        <f t="shared" si="22"/>
        <v>265065.53371074377</v>
      </c>
      <c r="AD46" s="10">
        <f>SUM($AC$28:AC46)</f>
        <v>1838537.3891488893</v>
      </c>
      <c r="AE46" s="73">
        <f t="shared" si="6"/>
        <v>2334.344031378032</v>
      </c>
      <c r="AF46" s="73">
        <f t="shared" si="7"/>
        <v>0</v>
      </c>
      <c r="AG46" s="74">
        <f t="shared" si="8"/>
        <v>772185.7034425335</v>
      </c>
      <c r="AH46" s="10">
        <f t="shared" si="23"/>
        <v>1559823.9839041205</v>
      </c>
      <c r="AO46" s="92"/>
      <c r="AP46" s="10"/>
      <c r="AQ46" s="73" t="str">
        <f t="shared" si="2"/>
        <v/>
      </c>
      <c r="AR46" s="80" t="str" cm="1">
        <f t="array" ref="AR46">IFERROR(INDEX($AQ$28:$AQ$78,_xlfn.AGGREGATE(15,3,ROW($AQ$28:$AQ$78)-ROW($AN$27)/($AQ$28:$AQ$78&lt;&gt;""),ROWS($AN$28:AN46))),"")</f>
        <v/>
      </c>
      <c r="AS46" s="73"/>
      <c r="AT46" s="73" t="str">
        <f t="shared" si="9"/>
        <v/>
      </c>
      <c r="AU46" s="85" t="str" cm="1">
        <f t="array" ref="AU46">IFERROR(INDEX($AT$28:$AT$78,_xlfn.AGGREGATE(15,3,ROW($AT$28:$AT$78)-ROW($AN$27)/($AT$28:$AT$78&lt;&gt;""),ROWS($AN$28:AN46))),"")</f>
        <v/>
      </c>
      <c r="AV46" s="10"/>
      <c r="AW46" s="10" t="str">
        <f t="shared" si="3"/>
        <v/>
      </c>
      <c r="AX46" s="90" t="str" cm="1">
        <f t="array" ref="AX46">IFERROR(INDEX($AW$28:$AW$78,_xlfn.AGGREGATE(15,3,ROW($AW$28:$AW$78)-ROW($AN$27)/($AW$28:$AW$78&lt;&gt;""),ROWS($AN$28:AN46))),"")</f>
        <v/>
      </c>
      <c r="AY46" s="10"/>
      <c r="AZ46" s="10" t="str">
        <f t="shared" si="10"/>
        <v/>
      </c>
      <c r="BA46" s="10" t="str" cm="1">
        <f t="array" ref="BA46">IFERROR(INDEX($AZ$28:$AZ$78,_xlfn.AGGREGATE(15,3,ROW($AZ$28:$AZ$78)-ROW($AN$27)/($AW$28:$AW$78&lt;&gt;""),ROWS($AN$28:AN46))),"")</f>
        <v/>
      </c>
      <c r="BB46" s="10"/>
      <c r="BC46" s="33"/>
    </row>
    <row r="47" spans="1:59">
      <c r="G47">
        <v>20</v>
      </c>
      <c r="H47" s="10">
        <f t="shared" si="15"/>
        <v>0</v>
      </c>
      <c r="I47" s="10">
        <f>SUM($H$28:H47)+M47</f>
        <v>231582.67389214225</v>
      </c>
      <c r="J47" s="10">
        <f t="shared" si="11"/>
        <v>0</v>
      </c>
      <c r="K47" s="10">
        <f t="shared" si="16"/>
        <v>2036426.1307596632</v>
      </c>
      <c r="L47" s="10">
        <f t="shared" si="0"/>
        <v>2339853.6242428529</v>
      </c>
      <c r="M47" s="10">
        <f t="shared" si="1"/>
        <v>51582.673892142258</v>
      </c>
      <c r="N47" s="10">
        <f t="shared" si="12"/>
        <v>2288270.9503507107</v>
      </c>
      <c r="O47" s="7">
        <f t="shared" si="4"/>
        <v>13729.625702104264</v>
      </c>
      <c r="P47" s="10">
        <f t="shared" si="5"/>
        <v>2274541.3246486066</v>
      </c>
      <c r="U47">
        <v>20</v>
      </c>
      <c r="V47" s="10">
        <f t="shared" si="13"/>
        <v>51582.673892142258</v>
      </c>
      <c r="W47" s="10">
        <f t="shared" si="14"/>
        <v>51582.673892142258</v>
      </c>
      <c r="X47" s="10">
        <f t="shared" si="17"/>
        <v>2385926.7052701744</v>
      </c>
      <c r="Y47" s="73">
        <f t="shared" si="18"/>
        <v>119296.33526350872</v>
      </c>
      <c r="Z47" s="73">
        <f t="shared" si="19"/>
        <v>15255.000000000002</v>
      </c>
      <c r="AA47" s="74">
        <f t="shared" si="20"/>
        <v>26374.460810673663</v>
      </c>
      <c r="AB47" s="73">
        <f t="shared" si="21"/>
        <v>2690256.6167236757</v>
      </c>
      <c r="AC47" s="10">
        <f t="shared" si="22"/>
        <v>304329.91145350132</v>
      </c>
      <c r="AD47" s="10">
        <f>SUM($AC$28:AC47)</f>
        <v>2142867.3006023904</v>
      </c>
      <c r="AE47" s="73">
        <f t="shared" si="6"/>
        <v>2690.256616723676</v>
      </c>
      <c r="AF47" s="73">
        <f t="shared" si="7"/>
        <v>0</v>
      </c>
      <c r="AG47" s="74">
        <f t="shared" si="8"/>
        <v>900004.26625300397</v>
      </c>
      <c r="AH47" s="10">
        <f t="shared" si="23"/>
        <v>1787562.0938539482</v>
      </c>
      <c r="AO47" s="92"/>
      <c r="AP47" s="10"/>
      <c r="AQ47" s="73" t="str">
        <f t="shared" si="2"/>
        <v/>
      </c>
      <c r="AR47" s="80" t="str" cm="1">
        <f t="array" ref="AR47">IFERROR(INDEX($AQ$28:$AQ$78,_xlfn.AGGREGATE(15,3,ROW($AQ$28:$AQ$78)-ROW($AN$27)/($AQ$28:$AQ$78&lt;&gt;""),ROWS($AN$28:AN47))),"")</f>
        <v/>
      </c>
      <c r="AS47" s="73"/>
      <c r="AT47" s="73" t="str">
        <f t="shared" si="9"/>
        <v/>
      </c>
      <c r="AU47" s="85" t="str" cm="1">
        <f t="array" ref="AU47">IFERROR(INDEX($AT$28:$AT$78,_xlfn.AGGREGATE(15,3,ROW($AT$28:$AT$78)-ROW($AN$27)/($AT$28:$AT$78&lt;&gt;""),ROWS($AN$28:AN47))),"")</f>
        <v/>
      </c>
      <c r="AV47" s="10"/>
      <c r="AW47" s="10" t="str">
        <f t="shared" si="3"/>
        <v/>
      </c>
      <c r="AX47" s="90" t="str" cm="1">
        <f t="array" ref="AX47">IFERROR(INDEX($AW$28:$AW$78,_xlfn.AGGREGATE(15,3,ROW($AW$28:$AW$78)-ROW($AN$27)/($AW$28:$AW$78&lt;&gt;""),ROWS($AN$28:AN47))),"")</f>
        <v/>
      </c>
      <c r="AY47" s="10"/>
      <c r="AZ47" s="10" t="str">
        <f t="shared" si="10"/>
        <v/>
      </c>
      <c r="BA47" s="10" t="str" cm="1">
        <f t="array" ref="BA47">IFERROR(INDEX($AZ$28:$AZ$78,_xlfn.AGGREGATE(15,3,ROW($AZ$28:$AZ$78)-ROW($AN$27)/($AW$28:$AW$78&lt;&gt;""),ROWS($AN$28:AN47))),"")</f>
        <v/>
      </c>
      <c r="BB47" s="10"/>
      <c r="BC47" s="33"/>
    </row>
    <row r="48" spans="1:59">
      <c r="G48">
        <v>21</v>
      </c>
      <c r="H48" s="10">
        <f t="shared" si="15"/>
        <v>0</v>
      </c>
      <c r="I48" s="10">
        <f>SUM($H$28:H48)+M48</f>
        <v>239268.49230207145</v>
      </c>
      <c r="J48" s="10">
        <f t="shared" si="11"/>
        <v>0</v>
      </c>
      <c r="K48" s="10">
        <f t="shared" si="16"/>
        <v>2339853.6242428529</v>
      </c>
      <c r="L48" s="10">
        <f t="shared" si="0"/>
        <v>2688491.8142550378</v>
      </c>
      <c r="M48" s="10">
        <f t="shared" si="1"/>
        <v>59268.492302071441</v>
      </c>
      <c r="N48" s="10">
        <f t="shared" si="12"/>
        <v>2629223.3219529665</v>
      </c>
      <c r="O48" s="7">
        <f t="shared" si="4"/>
        <v>15775.339931717799</v>
      </c>
      <c r="P48" s="10">
        <f t="shared" si="5"/>
        <v>2613447.9820212489</v>
      </c>
      <c r="U48">
        <v>21</v>
      </c>
      <c r="V48" s="10">
        <f t="shared" si="13"/>
        <v>59268.492302071441</v>
      </c>
      <c r="W48" s="10">
        <f t="shared" si="14"/>
        <v>59268.492302071441</v>
      </c>
      <c r="X48" s="10">
        <f t="shared" si="17"/>
        <v>2749525.109025747</v>
      </c>
      <c r="Y48" s="73">
        <f t="shared" si="18"/>
        <v>137476.25545128735</v>
      </c>
      <c r="Z48" s="73">
        <f t="shared" si="19"/>
        <v>15255.000000000002</v>
      </c>
      <c r="AA48" s="74">
        <f t="shared" si="20"/>
        <v>34010.027289540682</v>
      </c>
      <c r="AB48" s="73">
        <f t="shared" si="21"/>
        <v>3098941.2225449397</v>
      </c>
      <c r="AC48" s="10">
        <f t="shared" si="22"/>
        <v>349416.11351919267</v>
      </c>
      <c r="AD48" s="10">
        <f>SUM($AC$28:AC48)</f>
        <v>2492283.4141215831</v>
      </c>
      <c r="AE48" s="73">
        <f t="shared" si="6"/>
        <v>3098.9412225449396</v>
      </c>
      <c r="AF48" s="73">
        <f t="shared" si="7"/>
        <v>0</v>
      </c>
      <c r="AG48" s="74">
        <f t="shared" si="8"/>
        <v>1046759.0339310649</v>
      </c>
      <c r="AH48" s="10">
        <f t="shared" si="23"/>
        <v>2049083.2473913301</v>
      </c>
      <c r="AO48" s="92"/>
      <c r="AP48" s="10"/>
      <c r="AQ48" s="73" t="str">
        <f t="shared" si="2"/>
        <v/>
      </c>
      <c r="AR48" s="80" t="str" cm="1">
        <f t="array" ref="AR48">IFERROR(INDEX($AQ$28:$AQ$78,_xlfn.AGGREGATE(15,3,ROW($AQ$28:$AQ$78)-ROW($AN$27)/($AQ$28:$AQ$78&lt;&gt;""),ROWS($AN$28:AN48))),"")</f>
        <v/>
      </c>
      <c r="AS48" s="73"/>
      <c r="AT48" s="73" t="str">
        <f t="shared" si="9"/>
        <v/>
      </c>
      <c r="AU48" s="85" t="str" cm="1">
        <f t="array" ref="AU48">IFERROR(INDEX($AT$28:$AT$78,_xlfn.AGGREGATE(15,3,ROW($AT$28:$AT$78)-ROW($AN$27)/($AT$28:$AT$78&lt;&gt;""),ROWS($AN$28:AN48))),"")</f>
        <v/>
      </c>
      <c r="AV48" s="10"/>
      <c r="AW48" s="10" t="str">
        <f t="shared" si="3"/>
        <v/>
      </c>
      <c r="AX48" s="90" t="str" cm="1">
        <f t="array" ref="AX48">IFERROR(INDEX($AW$28:$AW$78,_xlfn.AGGREGATE(15,3,ROW($AW$28:$AW$78)-ROW($AN$27)/($AW$28:$AW$78&lt;&gt;""),ROWS($AN$28:AN48))),"")</f>
        <v/>
      </c>
      <c r="AY48" s="10"/>
      <c r="AZ48" s="10" t="str">
        <f t="shared" si="10"/>
        <v/>
      </c>
      <c r="BA48" s="10" t="str" cm="1">
        <f t="array" ref="BA48">IFERROR(INDEX($AZ$28:$AZ$78,_xlfn.AGGREGATE(15,3,ROW($AZ$28:$AZ$78)-ROW($AN$27)/($AW$28:$AW$78&lt;&gt;""),ROWS($AN$28:AN48))),"")</f>
        <v/>
      </c>
      <c r="BB48" s="10"/>
      <c r="BC48" s="33"/>
    </row>
    <row r="49" spans="7:55">
      <c r="G49">
        <v>22</v>
      </c>
      <c r="H49" s="10">
        <f t="shared" si="15"/>
        <v>0</v>
      </c>
      <c r="I49" s="10">
        <f>SUM($H$28:H49)+M49</f>
        <v>248099.49765508017</v>
      </c>
      <c r="J49" s="10">
        <f t="shared" si="11"/>
        <v>0</v>
      </c>
      <c r="K49" s="10">
        <f t="shared" si="16"/>
        <v>2688491.8142550378</v>
      </c>
      <c r="L49" s="10">
        <f t="shared" si="0"/>
        <v>3089077.0945790387</v>
      </c>
      <c r="M49" s="10">
        <f t="shared" si="1"/>
        <v>68099.497655080151</v>
      </c>
      <c r="N49" s="10">
        <f t="shared" si="12"/>
        <v>3020977.5969239585</v>
      </c>
      <c r="O49" s="7">
        <f t="shared" si="4"/>
        <v>18125.865581543752</v>
      </c>
      <c r="P49" s="10">
        <f t="shared" si="5"/>
        <v>3002851.7313424149</v>
      </c>
      <c r="U49">
        <v>22</v>
      </c>
      <c r="V49" s="10">
        <f t="shared" si="13"/>
        <v>68099.497655080151</v>
      </c>
      <c r="W49" s="10">
        <f t="shared" si="14"/>
        <v>68099.497655080151</v>
      </c>
      <c r="X49" s="10">
        <f t="shared" si="17"/>
        <v>3167040.7202000199</v>
      </c>
      <c r="Y49" s="73">
        <f t="shared" si="18"/>
        <v>158352.036010001</v>
      </c>
      <c r="Z49" s="73">
        <f t="shared" si="19"/>
        <v>15255.000000000002</v>
      </c>
      <c r="AA49" s="74">
        <f t="shared" si="20"/>
        <v>42777.855124200418</v>
      </c>
      <c r="AB49" s="73">
        <f t="shared" si="21"/>
        <v>3568228.7695048223</v>
      </c>
      <c r="AC49" s="10">
        <f t="shared" si="22"/>
        <v>401188.04930480244</v>
      </c>
      <c r="AD49" s="10">
        <f>SUM($AC$28:AC49)</f>
        <v>2893471.4634263855</v>
      </c>
      <c r="AE49" s="73">
        <f t="shared" si="6"/>
        <v>3568.2287695048226</v>
      </c>
      <c r="AF49" s="73">
        <f t="shared" si="7"/>
        <v>0</v>
      </c>
      <c r="AG49" s="74">
        <f t="shared" si="8"/>
        <v>1215258.0146390819</v>
      </c>
      <c r="AH49" s="10">
        <f t="shared" si="23"/>
        <v>2349402.5260962355</v>
      </c>
      <c r="AO49" s="92"/>
      <c r="AP49" s="10"/>
      <c r="AQ49" s="73" t="str">
        <f t="shared" si="2"/>
        <v/>
      </c>
      <c r="AR49" s="80" t="str" cm="1">
        <f t="array" ref="AR49">IFERROR(INDEX($AQ$28:$AQ$78,_xlfn.AGGREGATE(15,3,ROW($AQ$28:$AQ$78)-ROW($AN$27)/($AQ$28:$AQ$78&lt;&gt;""),ROWS($AN$28:AN49))),"")</f>
        <v/>
      </c>
      <c r="AS49" s="73"/>
      <c r="AT49" s="73" t="str">
        <f t="shared" si="9"/>
        <v/>
      </c>
      <c r="AU49" s="85" t="str" cm="1">
        <f t="array" ref="AU49">IFERROR(INDEX($AT$28:$AT$78,_xlfn.AGGREGATE(15,3,ROW($AT$28:$AT$78)-ROW($AN$27)/($AT$28:$AT$78&lt;&gt;""),ROWS($AN$28:AN49))),"")</f>
        <v/>
      </c>
      <c r="AV49" s="10"/>
      <c r="AW49" s="10" t="str">
        <f t="shared" si="3"/>
        <v/>
      </c>
      <c r="AX49" s="90" t="str" cm="1">
        <f t="array" ref="AX49">IFERROR(INDEX($AW$28:$AW$78,_xlfn.AGGREGATE(15,3,ROW($AW$28:$AW$78)-ROW($AN$27)/($AW$28:$AW$78&lt;&gt;""),ROWS($AN$28:AN49))),"")</f>
        <v/>
      </c>
      <c r="AY49" s="10"/>
      <c r="AZ49" s="10" t="str">
        <f t="shared" si="10"/>
        <v/>
      </c>
      <c r="BA49" s="10" t="str" cm="1">
        <f t="array" ref="BA49">IFERROR(INDEX($AZ$28:$AZ$78,_xlfn.AGGREGATE(15,3,ROW($AZ$28:$AZ$78)-ROW($AN$27)/($AW$28:$AW$78&lt;&gt;""),ROWS($AN$28:AN49))),"")</f>
        <v/>
      </c>
      <c r="BB49" s="10"/>
      <c r="BC49" s="33"/>
    </row>
    <row r="50" spans="7:55">
      <c r="G50">
        <v>23</v>
      </c>
      <c r="H50" s="10">
        <f t="shared" si="15"/>
        <v>0</v>
      </c>
      <c r="I50" s="10">
        <f>SUM($H$28:H50)+M50</f>
        <v>258246.32280568709</v>
      </c>
      <c r="J50" s="10">
        <f t="shared" si="11"/>
        <v>0</v>
      </c>
      <c r="K50" s="10">
        <f t="shared" si="16"/>
        <v>3089077.0945790387</v>
      </c>
      <c r="L50" s="10">
        <f t="shared" si="0"/>
        <v>3549349.5816713157</v>
      </c>
      <c r="M50" s="10">
        <f t="shared" si="1"/>
        <v>78246.322805687101</v>
      </c>
      <c r="N50" s="10">
        <f t="shared" si="12"/>
        <v>3471103.2588656284</v>
      </c>
      <c r="O50" s="7">
        <f t="shared" si="4"/>
        <v>20826.61955319377</v>
      </c>
      <c r="P50" s="10">
        <f t="shared" si="5"/>
        <v>3450276.6393124345</v>
      </c>
      <c r="U50">
        <v>23</v>
      </c>
      <c r="V50" s="10">
        <f t="shared" si="13"/>
        <v>78246.322805687101</v>
      </c>
      <c r="W50" s="10">
        <f t="shared" si="14"/>
        <v>78246.322805687101</v>
      </c>
      <c r="X50" s="10">
        <f t="shared" si="17"/>
        <v>3646475.0923105096</v>
      </c>
      <c r="Y50" s="73">
        <f t="shared" si="18"/>
        <v>182323.75461552548</v>
      </c>
      <c r="Z50" s="73">
        <f t="shared" si="19"/>
        <v>15255.000000000002</v>
      </c>
      <c r="AA50" s="74">
        <f t="shared" si="20"/>
        <v>52845.976938520704</v>
      </c>
      <c r="AB50" s="73">
        <f t="shared" si="21"/>
        <v>4107113.0037570125</v>
      </c>
      <c r="AC50" s="10">
        <f t="shared" si="22"/>
        <v>460637.9114465029</v>
      </c>
      <c r="AD50" s="10">
        <f>SUM($AC$28:AC50)</f>
        <v>3354109.3748728884</v>
      </c>
      <c r="AE50" s="73">
        <f t="shared" si="6"/>
        <v>4107.1130037570128</v>
      </c>
      <c r="AF50" s="73">
        <f t="shared" si="7"/>
        <v>0</v>
      </c>
      <c r="AG50" s="74">
        <f t="shared" si="8"/>
        <v>1408725.9374466131</v>
      </c>
      <c r="AH50" s="10">
        <f t="shared" si="23"/>
        <v>2694279.9533066424</v>
      </c>
      <c r="AO50" s="92"/>
      <c r="AP50" s="10"/>
      <c r="AQ50" s="73" t="str">
        <f t="shared" si="2"/>
        <v/>
      </c>
      <c r="AR50" s="80" t="str" cm="1">
        <f t="array" ref="AR50">IFERROR(INDEX($AQ$28:$AQ$78,_xlfn.AGGREGATE(15,3,ROW($AQ$28:$AQ$78)-ROW($AN$27)/($AQ$28:$AQ$78&lt;&gt;""),ROWS($AN$28:AN50))),"")</f>
        <v/>
      </c>
      <c r="AS50" s="73"/>
      <c r="AT50" s="73" t="str">
        <f t="shared" si="9"/>
        <v/>
      </c>
      <c r="AU50" s="85" t="str" cm="1">
        <f t="array" ref="AU50">IFERROR(INDEX($AT$28:$AT$78,_xlfn.AGGREGATE(15,3,ROW($AT$28:$AT$78)-ROW($AN$27)/($AT$28:$AT$78&lt;&gt;""),ROWS($AN$28:AN50))),"")</f>
        <v/>
      </c>
      <c r="AV50" s="10"/>
      <c r="AW50" s="10" t="str">
        <f t="shared" si="3"/>
        <v/>
      </c>
      <c r="AX50" s="90" t="str" cm="1">
        <f t="array" ref="AX50">IFERROR(INDEX($AW$28:$AW$78,_xlfn.AGGREGATE(15,3,ROW($AW$28:$AW$78)-ROW($AN$27)/($AW$28:$AW$78&lt;&gt;""),ROWS($AN$28:AN50))),"")</f>
        <v/>
      </c>
      <c r="AY50" s="10"/>
      <c r="AZ50" s="10" t="str">
        <f t="shared" si="10"/>
        <v/>
      </c>
      <c r="BA50" s="10" t="str" cm="1">
        <f t="array" ref="BA50">IFERROR(INDEX($AZ$28:$AZ$78,_xlfn.AGGREGATE(15,3,ROW($AZ$28:$AZ$78)-ROW($AN$27)/($AW$28:$AW$78&lt;&gt;""),ROWS($AN$28:AN50))),"")</f>
        <v/>
      </c>
      <c r="BB50" s="10"/>
      <c r="BC50" s="33"/>
    </row>
    <row r="51" spans="7:55">
      <c r="G51">
        <v>24</v>
      </c>
      <c r="H51" s="10">
        <f t="shared" si="15"/>
        <v>0</v>
      </c>
      <c r="I51" s="10">
        <f>SUM($H$28:H51)+M51</f>
        <v>269905.02490373445</v>
      </c>
      <c r="J51" s="10">
        <f t="shared" si="11"/>
        <v>0</v>
      </c>
      <c r="K51" s="10">
        <f t="shared" si="16"/>
        <v>3549349.5816713157</v>
      </c>
      <c r="L51" s="10">
        <f t="shared" si="0"/>
        <v>4078202.6693403418</v>
      </c>
      <c r="M51" s="10">
        <f t="shared" si="1"/>
        <v>89905.024903734447</v>
      </c>
      <c r="N51" s="10">
        <f t="shared" si="12"/>
        <v>3988297.6444366071</v>
      </c>
      <c r="O51" s="7">
        <f t="shared" si="4"/>
        <v>23929.785866619644</v>
      </c>
      <c r="P51" s="10">
        <f t="shared" si="5"/>
        <v>3964367.8585699876</v>
      </c>
      <c r="U51">
        <v>24</v>
      </c>
      <c r="V51" s="10">
        <f t="shared" si="13"/>
        <v>89905.024903734447</v>
      </c>
      <c r="W51" s="10">
        <f t="shared" si="14"/>
        <v>89905.024903734447</v>
      </c>
      <c r="X51" s="10">
        <f t="shared" si="17"/>
        <v>4197018.0286607472</v>
      </c>
      <c r="Y51" s="73">
        <f t="shared" si="18"/>
        <v>209850.90143303736</v>
      </c>
      <c r="Z51" s="73">
        <f t="shared" si="19"/>
        <v>15255.000000000002</v>
      </c>
      <c r="AA51" s="74">
        <f t="shared" si="20"/>
        <v>64407.378601875687</v>
      </c>
      <c r="AB51" s="73">
        <f t="shared" si="21"/>
        <v>4725923.2642146796</v>
      </c>
      <c r="AC51" s="10">
        <f t="shared" si="22"/>
        <v>528905.23555393238</v>
      </c>
      <c r="AD51" s="10">
        <f>SUM($AC$28:AC51)</f>
        <v>3883014.6104268208</v>
      </c>
      <c r="AE51" s="73">
        <f t="shared" si="6"/>
        <v>4725.9232642146799</v>
      </c>
      <c r="AF51" s="73">
        <f t="shared" si="7"/>
        <v>0</v>
      </c>
      <c r="AG51" s="74">
        <f t="shared" si="8"/>
        <v>1630866.1363792648</v>
      </c>
      <c r="AH51" s="10">
        <f t="shared" si="23"/>
        <v>3090331.2045712001</v>
      </c>
      <c r="AO51" s="92"/>
      <c r="AP51" s="10"/>
      <c r="AQ51" s="73" t="str">
        <f t="shared" si="2"/>
        <v/>
      </c>
      <c r="AR51" s="80" t="str" cm="1">
        <f t="array" ref="AR51">IFERROR(INDEX($AQ$28:$AQ$78,_xlfn.AGGREGATE(15,3,ROW($AQ$28:$AQ$78)-ROW($AN$27)/($AQ$28:$AQ$78&lt;&gt;""),ROWS($AN$28:AN51))),"")</f>
        <v/>
      </c>
      <c r="AS51" s="73"/>
      <c r="AT51" s="73" t="str">
        <f t="shared" si="9"/>
        <v/>
      </c>
      <c r="AU51" s="85" t="str" cm="1">
        <f t="array" ref="AU51">IFERROR(INDEX($AT$28:$AT$78,_xlfn.AGGREGATE(15,3,ROW($AT$28:$AT$78)-ROW($AN$27)/($AT$28:$AT$78&lt;&gt;""),ROWS($AN$28:AN51))),"")</f>
        <v/>
      </c>
      <c r="AV51" s="10"/>
      <c r="AW51" s="10" t="str">
        <f t="shared" si="3"/>
        <v/>
      </c>
      <c r="AX51" s="90" t="str" cm="1">
        <f t="array" ref="AX51">IFERROR(INDEX($AW$28:$AW$78,_xlfn.AGGREGATE(15,3,ROW($AW$28:$AW$78)-ROW($AN$27)/($AW$28:$AW$78&lt;&gt;""),ROWS($AN$28:AN51))),"")</f>
        <v/>
      </c>
      <c r="AY51" s="10"/>
      <c r="AZ51" s="10" t="str">
        <f t="shared" si="10"/>
        <v/>
      </c>
      <c r="BA51" s="10" t="str" cm="1">
        <f t="array" ref="BA51">IFERROR(INDEX($AZ$28:$AZ$78,_xlfn.AGGREGATE(15,3,ROW($AZ$28:$AZ$78)-ROW($AN$27)/($AW$28:$AW$78&lt;&gt;""),ROWS($AN$28:AN51))),"")</f>
        <v/>
      </c>
      <c r="BB51" s="10"/>
      <c r="BC51" s="33"/>
    </row>
    <row r="52" spans="7:55">
      <c r="G52">
        <v>25</v>
      </c>
      <c r="H52" s="10">
        <f t="shared" si="15"/>
        <v>0</v>
      </c>
      <c r="I52" s="10">
        <f>SUM($H$28:H52)+M52</f>
        <v>283300.87361439096</v>
      </c>
      <c r="J52" s="10">
        <f t="shared" si="11"/>
        <v>0</v>
      </c>
      <c r="K52" s="10">
        <f t="shared" si="16"/>
        <v>4078202.6693403418</v>
      </c>
      <c r="L52" s="10">
        <f t="shared" si="0"/>
        <v>4685854.8670720533</v>
      </c>
      <c r="M52" s="10">
        <f t="shared" si="1"/>
        <v>103300.87361439095</v>
      </c>
      <c r="N52" s="10">
        <f t="shared" si="12"/>
        <v>4582553.9934576619</v>
      </c>
      <c r="O52" s="7">
        <f t="shared" si="4"/>
        <v>27495.323960745973</v>
      </c>
      <c r="P52" s="10">
        <f t="shared" si="5"/>
        <v>4555058.6694969162</v>
      </c>
      <c r="U52">
        <v>25</v>
      </c>
      <c r="V52" s="10">
        <f t="shared" si="13"/>
        <v>103300.87361439095</v>
      </c>
      <c r="W52" s="10">
        <f t="shared" si="14"/>
        <v>103300.87361439095</v>
      </c>
      <c r="X52" s="10">
        <f t="shared" si="17"/>
        <v>4829224.1378290709</v>
      </c>
      <c r="Y52" s="73">
        <f t="shared" si="18"/>
        <v>241461.20689145356</v>
      </c>
      <c r="Z52" s="73">
        <f t="shared" si="19"/>
        <v>15255.000000000002</v>
      </c>
      <c r="AA52" s="74">
        <f t="shared" si="20"/>
        <v>77683.706894410498</v>
      </c>
      <c r="AB52" s="73">
        <f t="shared" si="21"/>
        <v>5436522.9309198754</v>
      </c>
      <c r="AC52" s="10">
        <f t="shared" si="22"/>
        <v>607298.79309080448</v>
      </c>
      <c r="AD52" s="10">
        <f>SUM($AC$28:AC52)</f>
        <v>4490313.4035176253</v>
      </c>
      <c r="AE52" s="73">
        <f t="shared" si="6"/>
        <v>5436.5229309198758</v>
      </c>
      <c r="AF52" s="73">
        <f t="shared" si="7"/>
        <v>0</v>
      </c>
      <c r="AG52" s="74">
        <f t="shared" si="8"/>
        <v>1885931.6294774027</v>
      </c>
      <c r="AH52" s="10">
        <f t="shared" si="23"/>
        <v>3545154.7785115526</v>
      </c>
      <c r="AO52" s="92"/>
      <c r="AP52" s="10"/>
      <c r="AQ52" s="73" t="str">
        <f t="shared" si="2"/>
        <v/>
      </c>
      <c r="AR52" s="80" t="str" cm="1">
        <f t="array" ref="AR52">IFERROR(INDEX($AQ$28:$AQ$78,_xlfn.AGGREGATE(15,3,ROW($AQ$28:$AQ$78)-ROW($AN$27)/($AQ$28:$AQ$78&lt;&gt;""),ROWS($AN$28:AN52))),"")</f>
        <v/>
      </c>
      <c r="AS52" s="73"/>
      <c r="AT52" s="73" t="str">
        <f t="shared" si="9"/>
        <v/>
      </c>
      <c r="AU52" s="85" t="str" cm="1">
        <f t="array" ref="AU52">IFERROR(INDEX($AT$28:$AT$78,_xlfn.AGGREGATE(15,3,ROW($AT$28:$AT$78)-ROW($AN$27)/($AT$28:$AT$78&lt;&gt;""),ROWS($AN$28:AN52))),"")</f>
        <v/>
      </c>
      <c r="AV52" s="10"/>
      <c r="AW52" s="10" t="str">
        <f t="shared" si="3"/>
        <v/>
      </c>
      <c r="AX52" s="90" t="str" cm="1">
        <f t="array" ref="AX52">IFERROR(INDEX($AW$28:$AW$78,_xlfn.AGGREGATE(15,3,ROW($AW$28:$AW$78)-ROW($AN$27)/($AW$28:$AW$78&lt;&gt;""),ROWS($AN$28:AN52))),"")</f>
        <v/>
      </c>
      <c r="AY52" s="10"/>
      <c r="AZ52" s="10" t="str">
        <f t="shared" si="10"/>
        <v/>
      </c>
      <c r="BA52" s="10" t="str" cm="1">
        <f t="array" ref="BA52">IFERROR(INDEX($AZ$28:$AZ$78,_xlfn.AGGREGATE(15,3,ROW($AZ$28:$AZ$78)-ROW($AN$27)/($AW$28:$AW$78&lt;&gt;""),ROWS($AN$28:AN52))),"")</f>
        <v/>
      </c>
      <c r="BB52" s="10"/>
      <c r="BC52" s="33"/>
    </row>
    <row r="53" spans="7:55">
      <c r="G53">
        <v>26</v>
      </c>
      <c r="H53" s="10">
        <f t="shared" si="15"/>
        <v>0</v>
      </c>
      <c r="I53" s="10">
        <f>SUM($H$28:H53)+M53</f>
        <v>298692.70378293504</v>
      </c>
      <c r="J53" s="10">
        <f t="shared" si="11"/>
        <v>0</v>
      </c>
      <c r="K53" s="10">
        <f t="shared" si="16"/>
        <v>4685854.8670720533</v>
      </c>
      <c r="L53" s="10">
        <f t="shared" si="0"/>
        <v>5384047.2422657888</v>
      </c>
      <c r="M53" s="10">
        <f t="shared" si="1"/>
        <v>118692.70378293506</v>
      </c>
      <c r="N53" s="10">
        <f t="shared" si="12"/>
        <v>5265354.5384828541</v>
      </c>
      <c r="O53" s="7">
        <f t="shared" si="4"/>
        <v>31592.127230897124</v>
      </c>
      <c r="P53" s="10">
        <f t="shared" si="5"/>
        <v>5233762.4112519566</v>
      </c>
      <c r="U53">
        <v>26</v>
      </c>
      <c r="V53" s="10">
        <f t="shared" si="13"/>
        <v>118692.70378293506</v>
      </c>
      <c r="W53" s="10">
        <f t="shared" si="14"/>
        <v>118692.70378293506</v>
      </c>
      <c r="X53" s="10">
        <f t="shared" si="17"/>
        <v>5555215.6347028101</v>
      </c>
      <c r="Y53" s="73">
        <f t="shared" si="18"/>
        <v>277760.78173514054</v>
      </c>
      <c r="Z53" s="73">
        <f t="shared" si="19"/>
        <v>15255.000000000002</v>
      </c>
      <c r="AA53" s="74">
        <f t="shared" si="20"/>
        <v>92929.528328759028</v>
      </c>
      <c r="AB53" s="73">
        <f t="shared" si="21"/>
        <v>6252537.3734059585</v>
      </c>
      <c r="AC53" s="10">
        <f t="shared" si="22"/>
        <v>697321.73870314844</v>
      </c>
      <c r="AD53" s="10">
        <f>SUM($AC$28:AC53)</f>
        <v>5187635.1422207737</v>
      </c>
      <c r="AE53" s="73">
        <f t="shared" si="6"/>
        <v>6252.5373734059585</v>
      </c>
      <c r="AF53" s="73">
        <f t="shared" si="7"/>
        <v>0</v>
      </c>
      <c r="AG53" s="74">
        <f t="shared" si="8"/>
        <v>2178806.7597327251</v>
      </c>
      <c r="AH53" s="10">
        <f t="shared" si="23"/>
        <v>4067478.0762998275</v>
      </c>
      <c r="AO53" s="92"/>
      <c r="AP53" s="10"/>
      <c r="AQ53" s="73" t="str">
        <f t="shared" si="2"/>
        <v/>
      </c>
      <c r="AR53" s="80" t="str" cm="1">
        <f t="array" ref="AR53">IFERROR(INDEX($AQ$28:$AQ$78,_xlfn.AGGREGATE(15,3,ROW($AQ$28:$AQ$78)-ROW($AN$27)/($AQ$28:$AQ$78&lt;&gt;""),ROWS($AN$28:AN53))),"")</f>
        <v/>
      </c>
      <c r="AS53" s="73"/>
      <c r="AT53" s="73" t="str">
        <f t="shared" si="9"/>
        <v/>
      </c>
      <c r="AU53" s="85" t="str" cm="1">
        <f t="array" ref="AU53">IFERROR(INDEX($AT$28:$AT$78,_xlfn.AGGREGATE(15,3,ROW($AT$28:$AT$78)-ROW($AN$27)/($AT$28:$AT$78&lt;&gt;""),ROWS($AN$28:AN53))),"")</f>
        <v/>
      </c>
      <c r="AV53" s="10"/>
      <c r="AW53" s="10" t="str">
        <f t="shared" si="3"/>
        <v/>
      </c>
      <c r="AX53" s="90" t="str" cm="1">
        <f t="array" ref="AX53">IFERROR(INDEX($AW$28:$AW$78,_xlfn.AGGREGATE(15,3,ROW($AW$28:$AW$78)-ROW($AN$27)/($AW$28:$AW$78&lt;&gt;""),ROWS($AN$28:AN53))),"")</f>
        <v/>
      </c>
      <c r="AY53" s="10"/>
      <c r="AZ53" s="10" t="str">
        <f t="shared" si="10"/>
        <v/>
      </c>
      <c r="BA53" s="10" t="str" cm="1">
        <f t="array" ref="BA53">IFERROR(INDEX($AZ$28:$AZ$78,_xlfn.AGGREGATE(15,3,ROW($AZ$28:$AZ$78)-ROW($AN$27)/($AW$28:$AW$78&lt;&gt;""),ROWS($AN$28:AN53))),"")</f>
        <v/>
      </c>
      <c r="BB53" s="10"/>
      <c r="BC53" s="33"/>
    </row>
    <row r="54" spans="7:55">
      <c r="G54">
        <v>27</v>
      </c>
      <c r="H54" s="10">
        <f t="shared" si="15"/>
        <v>0</v>
      </c>
      <c r="I54" s="10">
        <f>SUM($H$28:H54)+M54</f>
        <v>316377.91664659244</v>
      </c>
      <c r="J54" s="10">
        <f t="shared" si="11"/>
        <v>0</v>
      </c>
      <c r="K54" s="10">
        <f t="shared" si="16"/>
        <v>5384047.2422657888</v>
      </c>
      <c r="L54" s="10">
        <f t="shared" si="0"/>
        <v>6186270.2813633913</v>
      </c>
      <c r="M54" s="10">
        <f t="shared" si="1"/>
        <v>136377.91664659244</v>
      </c>
      <c r="N54" s="10">
        <f t="shared" si="12"/>
        <v>6049892.364716799</v>
      </c>
      <c r="O54" s="7">
        <f t="shared" si="4"/>
        <v>36299.354188300793</v>
      </c>
      <c r="P54" s="10">
        <f t="shared" si="5"/>
        <v>6013593.0105284983</v>
      </c>
      <c r="U54">
        <v>27</v>
      </c>
      <c r="V54" s="10">
        <f t="shared" si="13"/>
        <v>136377.91664659244</v>
      </c>
      <c r="W54" s="10">
        <f t="shared" si="14"/>
        <v>136377.91664659244</v>
      </c>
      <c r="X54" s="10">
        <f t="shared" si="17"/>
        <v>6388915.2900525508</v>
      </c>
      <c r="Y54" s="73">
        <f t="shared" si="18"/>
        <v>319445.76450262754</v>
      </c>
      <c r="Z54" s="73">
        <f t="shared" si="19"/>
        <v>15255.000000000002</v>
      </c>
      <c r="AA54" s="74">
        <f t="shared" si="20"/>
        <v>110437.22109110357</v>
      </c>
      <c r="AB54" s="73">
        <f t="shared" si="21"/>
        <v>7189615.7860190673</v>
      </c>
      <c r="AC54" s="10">
        <f t="shared" si="22"/>
        <v>800700.49596651644</v>
      </c>
      <c r="AD54" s="10">
        <f>SUM($AC$28:AC54)</f>
        <v>5988335.6381872902</v>
      </c>
      <c r="AE54" s="73">
        <f t="shared" si="6"/>
        <v>7189.6157860190679</v>
      </c>
      <c r="AF54" s="73">
        <f t="shared" si="7"/>
        <v>0</v>
      </c>
      <c r="AG54" s="74">
        <f t="shared" si="8"/>
        <v>2515100.9680386619</v>
      </c>
      <c r="AH54" s="10">
        <f t="shared" si="23"/>
        <v>4667325.2021943871</v>
      </c>
      <c r="AO54" s="92"/>
      <c r="AP54" s="10"/>
      <c r="AQ54" s="73" t="str">
        <f t="shared" si="2"/>
        <v/>
      </c>
      <c r="AR54" s="80" t="str" cm="1">
        <f t="array" ref="AR54">IFERROR(INDEX($AQ$28:$AQ$78,_xlfn.AGGREGATE(15,3,ROW($AQ$28:$AQ$78)-ROW($AN$27)/($AQ$28:$AQ$78&lt;&gt;""),ROWS($AN$28:AN54))),"")</f>
        <v/>
      </c>
      <c r="AS54" s="73"/>
      <c r="AT54" s="73" t="str">
        <f t="shared" si="9"/>
        <v/>
      </c>
      <c r="AU54" s="85" t="str" cm="1">
        <f t="array" ref="AU54">IFERROR(INDEX($AT$28:$AT$78,_xlfn.AGGREGATE(15,3,ROW($AT$28:$AT$78)-ROW($AN$27)/($AT$28:$AT$78&lt;&gt;""),ROWS($AN$28:AN54))),"")</f>
        <v/>
      </c>
      <c r="AV54" s="10"/>
      <c r="AW54" s="10" t="str">
        <f t="shared" si="3"/>
        <v/>
      </c>
      <c r="AX54" s="90" t="str" cm="1">
        <f t="array" ref="AX54">IFERROR(INDEX($AW$28:$AW$78,_xlfn.AGGREGATE(15,3,ROW($AW$28:$AW$78)-ROW($AN$27)/($AW$28:$AW$78&lt;&gt;""),ROWS($AN$28:AN54))),"")</f>
        <v/>
      </c>
      <c r="AY54" s="10"/>
      <c r="AZ54" s="10" t="str">
        <f t="shared" si="10"/>
        <v/>
      </c>
      <c r="BA54" s="10" t="str" cm="1">
        <f t="array" ref="BA54">IFERROR(INDEX($AZ$28:$AZ$78,_xlfn.AGGREGATE(15,3,ROW($AZ$28:$AZ$78)-ROW($AN$27)/($AW$28:$AW$78&lt;&gt;""),ROWS($AN$28:AN54))),"")</f>
        <v/>
      </c>
      <c r="BB54" s="10"/>
      <c r="BC54" s="33"/>
    </row>
    <row r="55" spans="7:55">
      <c r="G55">
        <v>28</v>
      </c>
      <c r="H55" s="10">
        <f t="shared" si="15"/>
        <v>0</v>
      </c>
      <c r="I55" s="10">
        <f>SUM($H$28:H55)+M55</f>
        <v>336698.2262269347</v>
      </c>
      <c r="J55" s="10">
        <f t="shared" si="11"/>
        <v>0</v>
      </c>
      <c r="K55" s="10">
        <f t="shared" si="16"/>
        <v>6186270.2813633913</v>
      </c>
      <c r="L55" s="10">
        <f t="shared" si="0"/>
        <v>7108024.5532865366</v>
      </c>
      <c r="M55" s="10">
        <f t="shared" si="1"/>
        <v>156698.2262269347</v>
      </c>
      <c r="N55" s="10">
        <f t="shared" si="12"/>
        <v>6951326.3270596024</v>
      </c>
      <c r="O55" s="7">
        <f t="shared" si="4"/>
        <v>41707.957962357614</v>
      </c>
      <c r="P55" s="10">
        <f t="shared" si="5"/>
        <v>6909618.3690972449</v>
      </c>
      <c r="U55">
        <v>28</v>
      </c>
      <c r="V55" s="10">
        <f t="shared" si="13"/>
        <v>156698.2262269347</v>
      </c>
      <c r="W55" s="10">
        <f t="shared" si="14"/>
        <v>156698.2262269347</v>
      </c>
      <c r="X55" s="10">
        <f t="shared" si="17"/>
        <v>7346314.0122460015</v>
      </c>
      <c r="Y55" s="73">
        <f t="shared" si="18"/>
        <v>367315.70061230008</v>
      </c>
      <c r="Z55" s="73">
        <f t="shared" si="19"/>
        <v>15255.000000000002</v>
      </c>
      <c r="AA55" s="74">
        <f t="shared" si="20"/>
        <v>130542.59425716603</v>
      </c>
      <c r="AB55" s="73">
        <f t="shared" si="21"/>
        <v>8265731.949764506</v>
      </c>
      <c r="AC55" s="10">
        <f t="shared" si="22"/>
        <v>919417.93751850445</v>
      </c>
      <c r="AD55" s="10">
        <f>SUM($AC$28:AC55)</f>
        <v>6907753.5757057946</v>
      </c>
      <c r="AE55" s="73">
        <f t="shared" si="6"/>
        <v>8265.7319497645058</v>
      </c>
      <c r="AF55" s="73">
        <f t="shared" si="7"/>
        <v>0</v>
      </c>
      <c r="AG55" s="74">
        <f t="shared" si="8"/>
        <v>2901256.5017964337</v>
      </c>
      <c r="AH55" s="10">
        <f t="shared" si="23"/>
        <v>5356209.716018308</v>
      </c>
      <c r="AO55" s="92"/>
      <c r="AP55" s="10"/>
      <c r="AQ55" s="73" t="str">
        <f t="shared" si="2"/>
        <v/>
      </c>
      <c r="AR55" s="80" t="str" cm="1">
        <f t="array" ref="AR55">IFERROR(INDEX($AQ$28:$AQ$78,_xlfn.AGGREGATE(15,3,ROW($AQ$28:$AQ$78)-ROW($AN$27)/($AQ$28:$AQ$78&lt;&gt;""),ROWS($AN$28:AN55))),"")</f>
        <v/>
      </c>
      <c r="AS55" s="73"/>
      <c r="AT55" s="73" t="str">
        <f t="shared" si="9"/>
        <v/>
      </c>
      <c r="AU55" s="85" t="str" cm="1">
        <f t="array" ref="AU55">IFERROR(INDEX($AT$28:$AT$78,_xlfn.AGGREGATE(15,3,ROW($AT$28:$AT$78)-ROW($AN$27)/($AT$28:$AT$78&lt;&gt;""),ROWS($AN$28:AN55))),"")</f>
        <v/>
      </c>
      <c r="AV55" s="10"/>
      <c r="AW55" s="10" t="str">
        <f t="shared" si="3"/>
        <v/>
      </c>
      <c r="AX55" s="90" t="str" cm="1">
        <f t="array" ref="AX55">IFERROR(INDEX($AW$28:$AW$78,_xlfn.AGGREGATE(15,3,ROW($AW$28:$AW$78)-ROW($AN$27)/($AW$28:$AW$78&lt;&gt;""),ROWS($AN$28:AN55))),"")</f>
        <v/>
      </c>
      <c r="AY55" s="10"/>
      <c r="AZ55" s="10" t="str">
        <f t="shared" si="10"/>
        <v/>
      </c>
      <c r="BA55" s="10" t="str" cm="1">
        <f t="array" ref="BA55">IFERROR(INDEX($AZ$28:$AZ$78,_xlfn.AGGREGATE(15,3,ROW($AZ$28:$AZ$78)-ROW($AN$27)/($AW$28:$AW$78&lt;&gt;""),ROWS($AN$28:AN55))),"")</f>
        <v/>
      </c>
      <c r="BB55" s="10"/>
      <c r="BC55" s="33"/>
    </row>
    <row r="56" spans="7:55">
      <c r="G56">
        <v>29</v>
      </c>
      <c r="H56" s="10">
        <f t="shared" si="15"/>
        <v>0</v>
      </c>
      <c r="I56" s="10">
        <f>SUM($H$28:H56)+M56</f>
        <v>360046.26193474798</v>
      </c>
      <c r="J56" s="10">
        <f t="shared" si="11"/>
        <v>0</v>
      </c>
      <c r="K56" s="10">
        <f t="shared" si="16"/>
        <v>7108024.5532865366</v>
      </c>
      <c r="L56" s="10">
        <f t="shared" si="0"/>
        <v>8167120.2117262306</v>
      </c>
      <c r="M56" s="10">
        <f t="shared" si="1"/>
        <v>180046.26193474798</v>
      </c>
      <c r="N56" s="10">
        <f t="shared" si="12"/>
        <v>7987073.9497914826</v>
      </c>
      <c r="O56" s="7">
        <f t="shared" si="4"/>
        <v>47922.443698748895</v>
      </c>
      <c r="P56" s="10">
        <f t="shared" si="5"/>
        <v>7939151.5060927337</v>
      </c>
      <c r="U56">
        <v>29</v>
      </c>
      <c r="V56" s="10">
        <f t="shared" si="13"/>
        <v>180046.26193474798</v>
      </c>
      <c r="W56" s="10">
        <f t="shared" si="14"/>
        <v>180046.26193474798</v>
      </c>
      <c r="X56" s="10">
        <f t="shared" si="17"/>
        <v>8445778.2116992548</v>
      </c>
      <c r="Y56" s="73">
        <f t="shared" si="18"/>
        <v>422288.91058496275</v>
      </c>
      <c r="Z56" s="73">
        <f t="shared" si="19"/>
        <v>15255.000000000002</v>
      </c>
      <c r="AA56" s="74">
        <f t="shared" si="20"/>
        <v>153631.34244568436</v>
      </c>
      <c r="AB56" s="73">
        <f t="shared" si="21"/>
        <v>9501529.7099499628</v>
      </c>
      <c r="AC56" s="10">
        <f t="shared" si="22"/>
        <v>1055751.498250708</v>
      </c>
      <c r="AD56" s="10">
        <f>SUM($AC$28:AC56)</f>
        <v>7963505.0739565026</v>
      </c>
      <c r="AE56" s="73">
        <f t="shared" si="6"/>
        <v>9501.5297099499621</v>
      </c>
      <c r="AF56" s="73">
        <f t="shared" si="7"/>
        <v>0</v>
      </c>
      <c r="AG56" s="74">
        <f t="shared" si="8"/>
        <v>3344672.1310617309</v>
      </c>
      <c r="AH56" s="10">
        <f t="shared" si="23"/>
        <v>6147356.0491782818</v>
      </c>
      <c r="AO56" s="92"/>
      <c r="AP56" s="10"/>
      <c r="AQ56" s="73" t="str">
        <f t="shared" si="2"/>
        <v/>
      </c>
      <c r="AR56" s="80" t="str" cm="1">
        <f t="array" ref="AR56">IFERROR(INDEX($AQ$28:$AQ$78,_xlfn.AGGREGATE(15,3,ROW($AQ$28:$AQ$78)-ROW($AN$27)/($AQ$28:$AQ$78&lt;&gt;""),ROWS($AN$28:AN56))),"")</f>
        <v/>
      </c>
      <c r="AS56" s="73"/>
      <c r="AT56" s="73" t="str">
        <f t="shared" si="9"/>
        <v/>
      </c>
      <c r="AU56" s="85" t="str" cm="1">
        <f t="array" ref="AU56">IFERROR(INDEX($AT$28:$AT$78,_xlfn.AGGREGATE(15,3,ROW($AT$28:$AT$78)-ROW($AN$27)/($AT$28:$AT$78&lt;&gt;""),ROWS($AN$28:AN56))),"")</f>
        <v/>
      </c>
      <c r="AV56" s="10"/>
      <c r="AW56" s="10" t="str">
        <f t="shared" si="3"/>
        <v/>
      </c>
      <c r="AX56" s="90" t="str" cm="1">
        <f t="array" ref="AX56">IFERROR(INDEX($AW$28:$AW$78,_xlfn.AGGREGATE(15,3,ROW($AW$28:$AW$78)-ROW($AN$27)/($AW$28:$AW$78&lt;&gt;""),ROWS($AN$28:AN56))),"")</f>
        <v/>
      </c>
      <c r="AY56" s="10"/>
      <c r="AZ56" s="10" t="str">
        <f t="shared" si="10"/>
        <v/>
      </c>
      <c r="BA56" s="10" t="str" cm="1">
        <f t="array" ref="BA56">IFERROR(INDEX($AZ$28:$AZ$78,_xlfn.AGGREGATE(15,3,ROW($AZ$28:$AZ$78)-ROW($AN$27)/($AW$28:$AW$78&lt;&gt;""),ROWS($AN$28:AN56))),"")</f>
        <v/>
      </c>
      <c r="BB56" s="10"/>
      <c r="BC56" s="33"/>
    </row>
    <row r="57" spans="7:55">
      <c r="G57">
        <v>30</v>
      </c>
      <c r="H57" s="10">
        <f t="shared" si="15"/>
        <v>0</v>
      </c>
      <c r="I57" s="10">
        <f>SUM($H$28:H57)+M57</f>
        <v>386873.15496302559</v>
      </c>
      <c r="J57" s="10">
        <f t="shared" si="11"/>
        <v>0</v>
      </c>
      <c r="K57" s="10">
        <f t="shared" si="16"/>
        <v>8167120.2117262306</v>
      </c>
      <c r="L57" s="10">
        <f t="shared" si="0"/>
        <v>9384021.1232734397</v>
      </c>
      <c r="M57" s="10">
        <f t="shared" si="1"/>
        <v>206873.15496302556</v>
      </c>
      <c r="N57" s="10">
        <f t="shared" si="12"/>
        <v>9177147.9683104139</v>
      </c>
      <c r="O57" s="7">
        <f t="shared" si="4"/>
        <v>55062.887809862485</v>
      </c>
      <c r="P57" s="10">
        <f t="shared" si="5"/>
        <v>9122085.0805005506</v>
      </c>
      <c r="U57">
        <v>30</v>
      </c>
      <c r="V57" s="10">
        <f t="shared" si="13"/>
        <v>206873.15496302556</v>
      </c>
      <c r="W57" s="10">
        <f t="shared" si="14"/>
        <v>206873.15496302556</v>
      </c>
      <c r="X57" s="10">
        <f t="shared" si="17"/>
        <v>9708402.8649129886</v>
      </c>
      <c r="Y57" s="73">
        <f t="shared" si="18"/>
        <v>485420.14324564947</v>
      </c>
      <c r="Z57" s="73">
        <f t="shared" si="19"/>
        <v>15255.000000000002</v>
      </c>
      <c r="AA57" s="74">
        <f t="shared" si="20"/>
        <v>180146.46016317277</v>
      </c>
      <c r="AB57" s="73">
        <f t="shared" si="21"/>
        <v>10920719.820162199</v>
      </c>
      <c r="AC57" s="10">
        <f t="shared" si="22"/>
        <v>1212316.9552492108</v>
      </c>
      <c r="AD57" s="10">
        <f>SUM($AC$28:AC57)</f>
        <v>9175822.0292057134</v>
      </c>
      <c r="AE57" s="73">
        <f t="shared" si="6"/>
        <v>10920.7198201622</v>
      </c>
      <c r="AF57" s="73">
        <f t="shared" si="7"/>
        <v>0</v>
      </c>
      <c r="AG57" s="74">
        <f t="shared" si="8"/>
        <v>3853845.2522663996</v>
      </c>
      <c r="AH57" s="10">
        <f t="shared" si="23"/>
        <v>7055953.8480756376</v>
      </c>
      <c r="AO57" s="92"/>
      <c r="AP57" s="10"/>
      <c r="AQ57" s="73" t="str">
        <f t="shared" si="2"/>
        <v/>
      </c>
      <c r="AR57" s="80" t="str" cm="1">
        <f t="array" ref="AR57">IFERROR(INDEX($AQ$28:$AQ$78,_xlfn.AGGREGATE(15,3,ROW($AQ$28:$AQ$78)-ROW($AN$27)/($AQ$28:$AQ$78&lt;&gt;""),ROWS($AN$28:AN57))),"")</f>
        <v/>
      </c>
      <c r="AS57" s="73"/>
      <c r="AT57" s="73" t="str">
        <f t="shared" si="9"/>
        <v/>
      </c>
      <c r="AU57" s="85" t="str" cm="1">
        <f t="array" ref="AU57">IFERROR(INDEX($AT$28:$AT$78,_xlfn.AGGREGATE(15,3,ROW($AT$28:$AT$78)-ROW($AN$27)/($AT$28:$AT$78&lt;&gt;""),ROWS($AN$28:AN57))),"")</f>
        <v/>
      </c>
      <c r="AV57" s="10"/>
      <c r="AW57" s="10" t="str">
        <f t="shared" si="3"/>
        <v/>
      </c>
      <c r="AX57" s="90" t="str" cm="1">
        <f t="array" ref="AX57">IFERROR(INDEX($AW$28:$AW$78,_xlfn.AGGREGATE(15,3,ROW($AW$28:$AW$78)-ROW($AN$27)/($AW$28:$AW$78&lt;&gt;""),ROWS($AN$28:AN57))),"")</f>
        <v/>
      </c>
      <c r="AY57" s="10"/>
      <c r="AZ57" s="10" t="str">
        <f t="shared" si="10"/>
        <v/>
      </c>
      <c r="BA57" s="10" t="str" cm="1">
        <f t="array" ref="BA57">IFERROR(INDEX($AZ$28:$AZ$78,_xlfn.AGGREGATE(15,3,ROW($AZ$28:$AZ$78)-ROW($AN$27)/($AW$28:$AW$78&lt;&gt;""),ROWS($AN$28:AN57))),"")</f>
        <v/>
      </c>
      <c r="BB57" s="10"/>
      <c r="BC57" s="33"/>
    </row>
    <row r="58" spans="7:55">
      <c r="G58">
        <v>31</v>
      </c>
      <c r="H58" s="10">
        <f t="shared" si="15"/>
        <v>0</v>
      </c>
      <c r="I58" s="10">
        <f>SUM($H$28:H58)+M58</f>
        <v>417697.25505251612</v>
      </c>
      <c r="J58" s="10">
        <f t="shared" si="11"/>
        <v>0</v>
      </c>
      <c r="K58" s="10">
        <f t="shared" si="16"/>
        <v>9384021.1232734397</v>
      </c>
      <c r="L58" s="10">
        <f t="shared" si="0"/>
        <v>10782240.270641182</v>
      </c>
      <c r="M58" s="10">
        <f t="shared" si="1"/>
        <v>237697.25505251615</v>
      </c>
      <c r="N58" s="10">
        <f t="shared" si="12"/>
        <v>10544543.015588665</v>
      </c>
      <c r="O58" s="7">
        <f t="shared" si="4"/>
        <v>63267.258093531993</v>
      </c>
      <c r="P58" s="10">
        <f t="shared" si="5"/>
        <v>10481275.757495133</v>
      </c>
      <c r="U58">
        <v>31</v>
      </c>
      <c r="V58" s="10">
        <f t="shared" si="13"/>
        <v>237697.25505251615</v>
      </c>
      <c r="W58" s="10">
        <f t="shared" si="14"/>
        <v>237697.25505251615</v>
      </c>
      <c r="X58" s="10">
        <f t="shared" si="17"/>
        <v>11158417.075214716</v>
      </c>
      <c r="Y58" s="73">
        <f t="shared" si="18"/>
        <v>557920.85376073583</v>
      </c>
      <c r="Z58" s="73">
        <f t="shared" si="19"/>
        <v>15255.000000000002</v>
      </c>
      <c r="AA58" s="74">
        <f t="shared" si="20"/>
        <v>210596.75857950904</v>
      </c>
      <c r="AB58" s="73">
        <f t="shared" si="21"/>
        <v>12550535.79254134</v>
      </c>
      <c r="AC58" s="10">
        <f t="shared" si="22"/>
        <v>1392118.7173266243</v>
      </c>
      <c r="AD58" s="10">
        <f>SUM($AC$28:AC58)</f>
        <v>10567940.746532338</v>
      </c>
      <c r="AE58" s="73">
        <f t="shared" si="6"/>
        <v>12550.535792541341</v>
      </c>
      <c r="AF58" s="73">
        <f t="shared" si="7"/>
        <v>0</v>
      </c>
      <c r="AG58" s="74">
        <f t="shared" si="8"/>
        <v>4438535.1135435821</v>
      </c>
      <c r="AH58" s="10">
        <f t="shared" si="23"/>
        <v>8099450.1432052171</v>
      </c>
      <c r="AO58" s="92"/>
      <c r="AP58" s="10"/>
      <c r="AQ58" s="73" t="str">
        <f t="shared" si="2"/>
        <v/>
      </c>
      <c r="AR58" s="80" t="str" cm="1">
        <f t="array" ref="AR58">IFERROR(INDEX($AQ$28:$AQ$78,_xlfn.AGGREGATE(15,3,ROW($AQ$28:$AQ$78)-ROW($AN$27)/($AQ$28:$AQ$78&lt;&gt;""),ROWS($AN$28:AN58))),"")</f>
        <v/>
      </c>
      <c r="AS58" s="73"/>
      <c r="AT58" s="73" t="str">
        <f t="shared" si="9"/>
        <v/>
      </c>
      <c r="AU58" s="85" t="str" cm="1">
        <f t="array" ref="AU58">IFERROR(INDEX($AT$28:$AT$78,_xlfn.AGGREGATE(15,3,ROW($AT$28:$AT$78)-ROW($AN$27)/($AT$28:$AT$78&lt;&gt;""),ROWS($AN$28:AN58))),"")</f>
        <v/>
      </c>
      <c r="AV58" s="10"/>
      <c r="AW58" s="10" t="str">
        <f t="shared" si="3"/>
        <v/>
      </c>
      <c r="AX58" s="90" t="str" cm="1">
        <f t="array" ref="AX58">IFERROR(INDEX($AW$28:$AW$78,_xlfn.AGGREGATE(15,3,ROW($AW$28:$AW$78)-ROW($AN$27)/($AW$28:$AW$78&lt;&gt;""),ROWS($AN$28:AN58))),"")</f>
        <v/>
      </c>
      <c r="AY58" s="10"/>
      <c r="AZ58" s="10" t="str">
        <f t="shared" si="10"/>
        <v/>
      </c>
      <c r="BA58" s="10" t="str" cm="1">
        <f t="array" ref="BA58">IFERROR(INDEX($AZ$28:$AZ$78,_xlfn.AGGREGATE(15,3,ROW($AZ$28:$AZ$78)-ROW($AN$27)/($AW$28:$AW$78&lt;&gt;""),ROWS($AN$28:AN58))),"")</f>
        <v/>
      </c>
      <c r="BB58" s="10"/>
      <c r="BC58" s="33"/>
    </row>
    <row r="59" spans="7:55">
      <c r="G59">
        <v>32</v>
      </c>
      <c r="H59" s="10">
        <f t="shared" si="15"/>
        <v>0</v>
      </c>
      <c r="I59" s="10">
        <f>SUM($H$28:H59)+M59</f>
        <v>453114.14605534135</v>
      </c>
      <c r="J59" s="10">
        <f t="shared" si="11"/>
        <v>0</v>
      </c>
      <c r="K59" s="10">
        <f t="shared" si="16"/>
        <v>10782240.270641182</v>
      </c>
      <c r="L59" s="10">
        <f t="shared" si="0"/>
        <v>12388794.070966719</v>
      </c>
      <c r="M59" s="10">
        <f t="shared" si="1"/>
        <v>273114.14605534135</v>
      </c>
      <c r="N59" s="10">
        <f t="shared" si="12"/>
        <v>12115679.924911378</v>
      </c>
      <c r="O59" s="7">
        <f t="shared" si="4"/>
        <v>72694.079549468268</v>
      </c>
      <c r="P59" s="10">
        <f t="shared" si="5"/>
        <v>12042985.845361909</v>
      </c>
      <c r="U59">
        <v>32</v>
      </c>
      <c r="V59" s="10">
        <f t="shared" si="13"/>
        <v>273114.14605534135</v>
      </c>
      <c r="W59" s="10">
        <f t="shared" si="14"/>
        <v>273114.14605534135</v>
      </c>
      <c r="X59" s="10">
        <f t="shared" si="17"/>
        <v>12823649.938596681</v>
      </c>
      <c r="Y59" s="73">
        <f t="shared" si="18"/>
        <v>641182.49692983413</v>
      </c>
      <c r="Z59" s="73">
        <f t="shared" si="19"/>
        <v>15255.000000000002</v>
      </c>
      <c r="AA59" s="74">
        <f t="shared" si="20"/>
        <v>245566.64871053034</v>
      </c>
      <c r="AB59" s="73">
        <f t="shared" si="21"/>
        <v>14422257.530982668</v>
      </c>
      <c r="AC59" s="10">
        <f t="shared" si="22"/>
        <v>1598607.5923859868</v>
      </c>
      <c r="AD59" s="10">
        <f>SUM($AC$28:AC59)</f>
        <v>12166548.338918325</v>
      </c>
      <c r="AE59" s="73">
        <f t="shared" si="6"/>
        <v>14422.257530982668</v>
      </c>
      <c r="AF59" s="73">
        <f t="shared" si="7"/>
        <v>0</v>
      </c>
      <c r="AG59" s="74">
        <f t="shared" si="8"/>
        <v>5109950.3023456959</v>
      </c>
      <c r="AH59" s="10">
        <f t="shared" si="23"/>
        <v>9297884.9711059891</v>
      </c>
      <c r="AO59" s="92"/>
      <c r="AP59" s="10"/>
      <c r="AQ59" s="73" t="str">
        <f t="shared" si="2"/>
        <v/>
      </c>
      <c r="AR59" s="80" t="str" cm="1">
        <f t="array" ref="AR59">IFERROR(INDEX($AQ$28:$AQ$78,_xlfn.AGGREGATE(15,3,ROW($AQ$28:$AQ$78)-ROW($AN$27)/($AQ$28:$AQ$78&lt;&gt;""),ROWS($AN$28:AN59))),"")</f>
        <v/>
      </c>
      <c r="AS59" s="73"/>
      <c r="AT59" s="73" t="str">
        <f t="shared" si="9"/>
        <v/>
      </c>
      <c r="AU59" s="85" t="str" cm="1">
        <f t="array" ref="AU59">IFERROR(INDEX($AT$28:$AT$78,_xlfn.AGGREGATE(15,3,ROW($AT$28:$AT$78)-ROW($AN$27)/($AT$28:$AT$78&lt;&gt;""),ROWS($AN$28:AN59))),"")</f>
        <v/>
      </c>
      <c r="AV59" s="10"/>
      <c r="AW59" s="10" t="str">
        <f t="shared" si="3"/>
        <v/>
      </c>
      <c r="AX59" s="90" t="str" cm="1">
        <f t="array" ref="AX59">IFERROR(INDEX($AW$28:$AW$78,_xlfn.AGGREGATE(15,3,ROW($AW$28:$AW$78)-ROW($AN$27)/($AW$28:$AW$78&lt;&gt;""),ROWS($AN$28:AN59))),"")</f>
        <v/>
      </c>
      <c r="AY59" s="10"/>
      <c r="AZ59" s="10" t="str">
        <f t="shared" si="10"/>
        <v/>
      </c>
      <c r="BA59" s="10" t="str" cm="1">
        <f t="array" ref="BA59">IFERROR(INDEX($AZ$28:$AZ$78,_xlfn.AGGREGATE(15,3,ROW($AZ$28:$AZ$78)-ROW($AN$27)/($AW$28:$AW$78&lt;&gt;""),ROWS($AN$28:AN59))),"")</f>
        <v/>
      </c>
      <c r="BB59" s="10"/>
      <c r="BC59" s="33"/>
    </row>
    <row r="60" spans="7:55">
      <c r="G60">
        <v>33</v>
      </c>
      <c r="H60" s="10">
        <f t="shared" si="15"/>
        <v>0</v>
      </c>
      <c r="I60" s="10">
        <f>SUM($H$28:H60)+M60</f>
        <v>493808.15381758695</v>
      </c>
      <c r="J60" s="10">
        <f t="shared" si="11"/>
        <v>0</v>
      </c>
      <c r="K60" s="10">
        <f t="shared" si="16"/>
        <v>12388794.070966719</v>
      </c>
      <c r="L60" s="10">
        <f t="shared" ref="L60:L78" si="24">(K60*($H$15-$H$21+1)^($G$28))</f>
        <v>14234724.38754076</v>
      </c>
      <c r="M60" s="10">
        <f t="shared" ref="M60:M78" si="25">(L60-K60)*$H$23</f>
        <v>313808.15381758695</v>
      </c>
      <c r="N60" s="10">
        <f t="shared" si="12"/>
        <v>13920916.233723173</v>
      </c>
      <c r="O60" s="7">
        <f t="shared" si="4"/>
        <v>83525.497402339039</v>
      </c>
      <c r="P60" s="10">
        <f t="shared" si="5"/>
        <v>13837390.736320835</v>
      </c>
      <c r="U60">
        <v>33</v>
      </c>
      <c r="V60" s="10">
        <f t="shared" si="13"/>
        <v>313808.15381758695</v>
      </c>
      <c r="W60" s="10">
        <f t="shared" si="14"/>
        <v>313808.15381758695</v>
      </c>
      <c r="X60" s="10">
        <f t="shared" si="17"/>
        <v>14736065.684800254</v>
      </c>
      <c r="Y60" s="73">
        <f t="shared" si="18"/>
        <v>736803.28424001276</v>
      </c>
      <c r="Z60" s="73">
        <f t="shared" si="19"/>
        <v>15255.000000000002</v>
      </c>
      <c r="AA60" s="74">
        <f t="shared" si="20"/>
        <v>285727.37938080536</v>
      </c>
      <c r="AB60" s="73">
        <f t="shared" si="21"/>
        <v>16571812.829715485</v>
      </c>
      <c r="AC60" s="10">
        <f t="shared" si="22"/>
        <v>1835747.1449152306</v>
      </c>
      <c r="AD60" s="10">
        <f>SUM($AC$28:AC60)</f>
        <v>14002295.483833555</v>
      </c>
      <c r="AE60" s="73">
        <f t="shared" si="6"/>
        <v>16571.812829715484</v>
      </c>
      <c r="AF60" s="73">
        <f t="shared" si="7"/>
        <v>0</v>
      </c>
      <c r="AG60" s="74">
        <f t="shared" si="8"/>
        <v>5880964.1032100925</v>
      </c>
      <c r="AH60" s="10">
        <f t="shared" si="23"/>
        <v>10674276.913675677</v>
      </c>
      <c r="AO60" s="92"/>
      <c r="AP60" s="10"/>
      <c r="AQ60" s="73" t="str">
        <f t="shared" ref="AQ60:AQ78" si="26">IF(AND(ISBLANK(AP60),ISBLANK(AP59)),"",IF(ISBLANK(AP60),$B$30,AP60))</f>
        <v/>
      </c>
      <c r="AR60" s="80" t="str" cm="1">
        <f t="array" ref="AR60">IFERROR(INDEX($AQ$28:$AQ$78,_xlfn.AGGREGATE(15,3,ROW($AQ$28:$AQ$78)-ROW($AN$27)/($AQ$28:$AQ$78&lt;&gt;""),ROWS($AN$28:AN60))),"")</f>
        <v/>
      </c>
      <c r="AS60" s="73"/>
      <c r="AT60" s="73" t="str">
        <f t="shared" si="9"/>
        <v/>
      </c>
      <c r="AU60" s="85" t="str" cm="1">
        <f t="array" ref="AU60">IFERROR(INDEX($AT$28:$AT$78,_xlfn.AGGREGATE(15,3,ROW($AT$28:$AT$78)-ROW($AN$27)/($AT$28:$AT$78&lt;&gt;""),ROWS($AN$28:AN60))),"")</f>
        <v/>
      </c>
      <c r="AV60" s="10"/>
      <c r="AW60" s="10" t="str">
        <f t="shared" ref="AW60:AW78" si="27">IF(AND(ISBLANK(AV60),ISBLANK(AV59)),"",IF(ISBLANK(AV60),$B$32,AV60))</f>
        <v/>
      </c>
      <c r="AX60" s="90" t="str" cm="1">
        <f t="array" ref="AX60">IFERROR(INDEX($AW$28:$AW$78,_xlfn.AGGREGATE(15,3,ROW($AW$28:$AW$78)-ROW($AN$27)/($AW$28:$AW$78&lt;&gt;""),ROWS($AN$28:AN60))),"")</f>
        <v/>
      </c>
      <c r="AY60" s="10"/>
      <c r="AZ60" s="10" t="str">
        <f t="shared" si="10"/>
        <v/>
      </c>
      <c r="BA60" s="10" t="str" cm="1">
        <f t="array" ref="BA60">IFERROR(INDEX($AZ$28:$AZ$78,_xlfn.AGGREGATE(15,3,ROW($AZ$28:$AZ$78)-ROW($AN$27)/($AW$28:$AW$78&lt;&gt;""),ROWS($AN$28:AN60))),"")</f>
        <v/>
      </c>
      <c r="BB60" s="10"/>
      <c r="BC60" s="33"/>
    </row>
    <row r="61" spans="7:55">
      <c r="G61">
        <v>34</v>
      </c>
      <c r="H61" s="10">
        <f t="shared" si="15"/>
        <v>0</v>
      </c>
      <c r="I61" s="10">
        <f>SUM($H$28:H61)+M61</f>
        <v>540565.56873640756</v>
      </c>
      <c r="J61" s="10">
        <f t="shared" si="11"/>
        <v>0</v>
      </c>
      <c r="K61" s="10">
        <f t="shared" si="16"/>
        <v>14234724.38754076</v>
      </c>
      <c r="L61" s="10">
        <f t="shared" si="24"/>
        <v>16355698.321284333</v>
      </c>
      <c r="M61" s="10">
        <f t="shared" si="25"/>
        <v>360565.56873640756</v>
      </c>
      <c r="N61" s="10">
        <f t="shared" si="12"/>
        <v>15995132.752547925</v>
      </c>
      <c r="O61" s="7">
        <f t="shared" si="4"/>
        <v>95970.796515287555</v>
      </c>
      <c r="P61" s="10">
        <f t="shared" si="5"/>
        <v>15899161.956032638</v>
      </c>
      <c r="U61">
        <v>34</v>
      </c>
      <c r="V61" s="10">
        <f t="shared" si="13"/>
        <v>360565.56873640756</v>
      </c>
      <c r="W61" s="10">
        <f t="shared" si="14"/>
        <v>360565.56873640756</v>
      </c>
      <c r="X61" s="10">
        <f t="shared" si="17"/>
        <v>16932378.398451891</v>
      </c>
      <c r="Y61" s="73">
        <f t="shared" si="18"/>
        <v>846618.91992259456</v>
      </c>
      <c r="Z61" s="73">
        <f t="shared" si="19"/>
        <v>15255.000000000002</v>
      </c>
      <c r="AA61" s="74">
        <f t="shared" si="20"/>
        <v>331849.9463674897</v>
      </c>
      <c r="AB61" s="73">
        <f t="shared" si="21"/>
        <v>19040468.319859926</v>
      </c>
      <c r="AC61" s="10">
        <f t="shared" si="22"/>
        <v>2108089.9214080349</v>
      </c>
      <c r="AD61" s="10">
        <f>SUM($AC$28:AC61)</f>
        <v>16110385.40524159</v>
      </c>
      <c r="AE61" s="73">
        <f t="shared" si="6"/>
        <v>19040.468319859927</v>
      </c>
      <c r="AF61" s="73">
        <f t="shared" si="7"/>
        <v>0</v>
      </c>
      <c r="AG61" s="74">
        <f t="shared" si="8"/>
        <v>6766361.8702014675</v>
      </c>
      <c r="AH61" s="10">
        <f t="shared" si="23"/>
        <v>12255065.981338598</v>
      </c>
      <c r="AO61" s="92"/>
      <c r="AP61" s="10"/>
      <c r="AQ61" s="73" t="str">
        <f t="shared" si="26"/>
        <v/>
      </c>
      <c r="AR61" s="80" t="str" cm="1">
        <f t="array" ref="AR61">IFERROR(INDEX($AQ$28:$AQ$78,_xlfn.AGGREGATE(15,3,ROW($AQ$28:$AQ$78)-ROW($AN$27)/($AQ$28:$AQ$78&lt;&gt;""),ROWS($AN$28:AN61))),"")</f>
        <v/>
      </c>
      <c r="AS61" s="73"/>
      <c r="AT61" s="73" t="str">
        <f t="shared" si="9"/>
        <v/>
      </c>
      <c r="AU61" s="85" t="str" cm="1">
        <f t="array" ref="AU61">IFERROR(INDEX($AT$28:$AT$78,_xlfn.AGGREGATE(15,3,ROW($AT$28:$AT$78)-ROW($AN$27)/($AT$28:$AT$78&lt;&gt;""),ROWS($AN$28:AN61))),"")</f>
        <v/>
      </c>
      <c r="AV61" s="10"/>
      <c r="AW61" s="10" t="str">
        <f t="shared" si="27"/>
        <v/>
      </c>
      <c r="AX61" s="90" t="str" cm="1">
        <f t="array" ref="AX61">IFERROR(INDEX($AW$28:$AW$78,_xlfn.AGGREGATE(15,3,ROW($AW$28:$AW$78)-ROW($AN$27)/($AW$28:$AW$78&lt;&gt;""),ROWS($AN$28:AN61))),"")</f>
        <v/>
      </c>
      <c r="AY61" s="10"/>
      <c r="AZ61" s="10" t="str">
        <f t="shared" si="10"/>
        <v/>
      </c>
      <c r="BA61" s="10" t="str" cm="1">
        <f t="array" ref="BA61">IFERROR(INDEX($AZ$28:$AZ$78,_xlfn.AGGREGATE(15,3,ROW($AZ$28:$AZ$78)-ROW($AN$27)/($AW$28:$AW$78&lt;&gt;""),ROWS($AN$28:AN61))),"")</f>
        <v/>
      </c>
      <c r="BB61" s="10"/>
      <c r="BC61" s="33"/>
    </row>
    <row r="62" spans="7:55">
      <c r="G62">
        <v>35</v>
      </c>
      <c r="H62" s="10">
        <f t="shared" ref="H62:H78" si="28">IF(N61&gt;$H$25,0,12*$H$14)</f>
        <v>0</v>
      </c>
      <c r="I62" s="10">
        <f>SUM($H$28:H62)+M62</f>
        <v>594289.83847813203</v>
      </c>
      <c r="J62" s="10">
        <f t="shared" si="11"/>
        <v>0</v>
      </c>
      <c r="K62" s="10">
        <f t="shared" si="16"/>
        <v>16355698.321284333</v>
      </c>
      <c r="L62" s="10">
        <f t="shared" si="24"/>
        <v>18792697.371155698</v>
      </c>
      <c r="M62" s="10">
        <f t="shared" si="25"/>
        <v>414289.83847813203</v>
      </c>
      <c r="N62" s="10">
        <f t="shared" si="12"/>
        <v>18378407.532677565</v>
      </c>
      <c r="O62" s="7">
        <f t="shared" si="4"/>
        <v>110270.44519606538</v>
      </c>
      <c r="P62" s="10">
        <f t="shared" si="5"/>
        <v>18268137.087481499</v>
      </c>
      <c r="U62">
        <v>35</v>
      </c>
      <c r="V62" s="10">
        <f t="shared" si="13"/>
        <v>414289.83847813203</v>
      </c>
      <c r="W62" s="10">
        <f t="shared" si="14"/>
        <v>414289.83847813203</v>
      </c>
      <c r="X62" s="10">
        <f t="shared" si="17"/>
        <v>19454758.158338059</v>
      </c>
      <c r="Y62" s="73">
        <f t="shared" si="18"/>
        <v>972737.90791690303</v>
      </c>
      <c r="Z62" s="73">
        <f t="shared" si="19"/>
        <v>15255.000000000002</v>
      </c>
      <c r="AA62" s="74">
        <f t="shared" si="20"/>
        <v>384819.92132509925</v>
      </c>
      <c r="AB62" s="73">
        <f t="shared" si="21"/>
        <v>21875623.16997198</v>
      </c>
      <c r="AC62" s="10">
        <f t="shared" si="22"/>
        <v>2420865.0116339214</v>
      </c>
      <c r="AD62" s="10">
        <f>SUM($AC$28:AC62)</f>
        <v>18531250.416875511</v>
      </c>
      <c r="AE62" s="73">
        <f t="shared" si="6"/>
        <v>21875.623169971979</v>
      </c>
      <c r="AF62" s="73">
        <f t="shared" si="7"/>
        <v>0</v>
      </c>
      <c r="AG62" s="74">
        <f t="shared" si="8"/>
        <v>7783125.1750877146</v>
      </c>
      <c r="AH62" s="10">
        <f t="shared" si="23"/>
        <v>14070622.371714292</v>
      </c>
      <c r="AO62" s="92"/>
      <c r="AP62" s="10"/>
      <c r="AQ62" s="73" t="str">
        <f t="shared" si="26"/>
        <v/>
      </c>
      <c r="AR62" s="80" t="str" cm="1">
        <f t="array" ref="AR62">IFERROR(INDEX($AQ$28:$AQ$78,_xlfn.AGGREGATE(15,3,ROW($AQ$28:$AQ$78)-ROW($AN$27)/($AQ$28:$AQ$78&lt;&gt;""),ROWS($AN$28:AN62))),"")</f>
        <v/>
      </c>
      <c r="AS62" s="73"/>
      <c r="AT62" s="73" t="str">
        <f t="shared" si="9"/>
        <v/>
      </c>
      <c r="AU62" s="85" t="str" cm="1">
        <f t="array" ref="AU62">IFERROR(INDEX($AT$28:$AT$78,_xlfn.AGGREGATE(15,3,ROW($AT$28:$AT$78)-ROW($AN$27)/($AT$28:$AT$78&lt;&gt;""),ROWS($AN$28:AN62))),"")</f>
        <v/>
      </c>
      <c r="AV62" s="10"/>
      <c r="AW62" s="10" t="str">
        <f t="shared" si="27"/>
        <v/>
      </c>
      <c r="AX62" s="90" t="str" cm="1">
        <f t="array" ref="AX62">IFERROR(INDEX($AW$28:$AW$78,_xlfn.AGGREGATE(15,3,ROW($AW$28:$AW$78)-ROW($AN$27)/($AW$28:$AW$78&lt;&gt;""),ROWS($AN$28:AN62))),"")</f>
        <v/>
      </c>
      <c r="AY62" s="10"/>
      <c r="AZ62" s="10" t="str">
        <f t="shared" si="10"/>
        <v/>
      </c>
      <c r="BA62" s="10" t="str" cm="1">
        <f t="array" ref="BA62">IFERROR(INDEX($AZ$28:$AZ$78,_xlfn.AGGREGATE(15,3,ROW($AZ$28:$AZ$78)-ROW($AN$27)/($AW$28:$AW$78&lt;&gt;""),ROWS($AN$28:AN62))),"")</f>
        <v/>
      </c>
      <c r="BB62" s="10"/>
      <c r="BC62" s="33"/>
    </row>
    <row r="63" spans="7:55">
      <c r="G63">
        <v>36</v>
      </c>
      <c r="H63" s="10">
        <f t="shared" si="28"/>
        <v>0</v>
      </c>
      <c r="I63" s="10">
        <f>SUM($H$28:H63)+M63</f>
        <v>656019.02441137389</v>
      </c>
      <c r="J63" s="10">
        <f t="shared" si="11"/>
        <v>0</v>
      </c>
      <c r="K63" s="10">
        <f t="shared" si="16"/>
        <v>18792697.371155698</v>
      </c>
      <c r="L63" s="10">
        <f t="shared" si="24"/>
        <v>21592809.279457897</v>
      </c>
      <c r="M63" s="10">
        <f t="shared" si="25"/>
        <v>476019.02441137389</v>
      </c>
      <c r="N63" s="10">
        <f t="shared" si="12"/>
        <v>21116790.255046524</v>
      </c>
      <c r="O63" s="7">
        <f t="shared" si="4"/>
        <v>126700.74153027915</v>
      </c>
      <c r="P63" s="10">
        <f t="shared" si="5"/>
        <v>20990089.513516244</v>
      </c>
      <c r="U63">
        <v>36</v>
      </c>
      <c r="V63" s="10">
        <f t="shared" si="13"/>
        <v>476019.02441137389</v>
      </c>
      <c r="W63" s="10">
        <f t="shared" si="14"/>
        <v>476019.02441137389</v>
      </c>
      <c r="X63" s="10">
        <f t="shared" si="17"/>
        <v>22351642.194383353</v>
      </c>
      <c r="Y63" s="73">
        <f t="shared" si="18"/>
        <v>1117582.1097191677</v>
      </c>
      <c r="Z63" s="73">
        <f t="shared" si="19"/>
        <v>15255.000000000002</v>
      </c>
      <c r="AA63" s="74">
        <f t="shared" si="20"/>
        <v>445654.48608205043</v>
      </c>
      <c r="AB63" s="73">
        <f t="shared" si="21"/>
        <v>25131720.826486889</v>
      </c>
      <c r="AC63" s="10">
        <f t="shared" si="22"/>
        <v>2780078.6321035363</v>
      </c>
      <c r="AD63" s="10">
        <f>SUM($AC$28:AC63)</f>
        <v>21311329.048979048</v>
      </c>
      <c r="AE63" s="73">
        <f t="shared" si="6"/>
        <v>25131.72082648689</v>
      </c>
      <c r="AF63" s="73">
        <f t="shared" si="7"/>
        <v>0</v>
      </c>
      <c r="AG63" s="74">
        <f t="shared" si="8"/>
        <v>8950758.2005711999</v>
      </c>
      <c r="AH63" s="10">
        <f t="shared" si="23"/>
        <v>16155830.905089201</v>
      </c>
      <c r="AO63" s="92"/>
      <c r="AP63" s="10"/>
      <c r="AQ63" s="73" t="str">
        <f t="shared" si="26"/>
        <v/>
      </c>
      <c r="AR63" s="80" t="str" cm="1">
        <f t="array" ref="AR63">IFERROR(INDEX($AQ$28:$AQ$78,_xlfn.AGGREGATE(15,3,ROW($AQ$28:$AQ$78)-ROW($AN$27)/($AQ$28:$AQ$78&lt;&gt;""),ROWS($AN$28:AN63))),"")</f>
        <v/>
      </c>
      <c r="AS63" s="73"/>
      <c r="AT63" s="73" t="str">
        <f t="shared" si="9"/>
        <v/>
      </c>
      <c r="AU63" s="85" t="str" cm="1">
        <f t="array" ref="AU63">IFERROR(INDEX($AT$28:$AT$78,_xlfn.AGGREGATE(15,3,ROW($AT$28:$AT$78)-ROW($AN$27)/($AT$28:$AT$78&lt;&gt;""),ROWS($AN$28:AN63))),"")</f>
        <v/>
      </c>
      <c r="AV63" s="10"/>
      <c r="AW63" s="10" t="str">
        <f t="shared" si="27"/>
        <v/>
      </c>
      <c r="AX63" s="90" t="str" cm="1">
        <f t="array" ref="AX63">IFERROR(INDEX($AW$28:$AW$78,_xlfn.AGGREGATE(15,3,ROW($AW$28:$AW$78)-ROW($AN$27)/($AW$28:$AW$78&lt;&gt;""),ROWS($AN$28:AN63))),"")</f>
        <v/>
      </c>
      <c r="AY63" s="10"/>
      <c r="AZ63" s="10" t="str">
        <f t="shared" si="10"/>
        <v/>
      </c>
      <c r="BA63" s="10" t="str" cm="1">
        <f t="array" ref="BA63">IFERROR(INDEX($AZ$28:$AZ$78,_xlfn.AGGREGATE(15,3,ROW($AZ$28:$AZ$78)-ROW($AN$27)/($AW$28:$AW$78&lt;&gt;""),ROWS($AN$28:AN63))),"")</f>
        <v/>
      </c>
      <c r="BB63" s="10"/>
      <c r="BC63" s="33"/>
    </row>
    <row r="64" spans="7:55">
      <c r="G64">
        <v>37</v>
      </c>
      <c r="H64" s="10">
        <f t="shared" si="28"/>
        <v>0</v>
      </c>
      <c r="I64" s="10">
        <f>SUM($H$28:H64)+M64</f>
        <v>726945.85904866888</v>
      </c>
      <c r="J64" s="10">
        <f t="shared" si="11"/>
        <v>0</v>
      </c>
      <c r="K64" s="10">
        <f t="shared" si="16"/>
        <v>21592809.279457897</v>
      </c>
      <c r="L64" s="10">
        <f t="shared" si="24"/>
        <v>24810137.862097126</v>
      </c>
      <c r="M64" s="10">
        <f t="shared" si="25"/>
        <v>546945.85904866888</v>
      </c>
      <c r="N64" s="10">
        <f t="shared" si="12"/>
        <v>24263192.003048457</v>
      </c>
      <c r="O64" s="7">
        <f t="shared" si="4"/>
        <v>145579.15201829074</v>
      </c>
      <c r="P64" s="10">
        <f t="shared" si="5"/>
        <v>24117612.851030167</v>
      </c>
      <c r="U64">
        <v>37</v>
      </c>
      <c r="V64" s="10">
        <f t="shared" si="13"/>
        <v>546945.85904866888</v>
      </c>
      <c r="W64" s="10">
        <f t="shared" si="14"/>
        <v>546945.85904866888</v>
      </c>
      <c r="X64" s="10">
        <f t="shared" si="17"/>
        <v>25678666.685535558</v>
      </c>
      <c r="Y64" s="73">
        <f t="shared" si="18"/>
        <v>1283933.3342767779</v>
      </c>
      <c r="Z64" s="73">
        <f t="shared" si="19"/>
        <v>15255.000000000002</v>
      </c>
      <c r="AA64" s="74">
        <f t="shared" si="20"/>
        <v>515522.00039624673</v>
      </c>
      <c r="AB64" s="73">
        <f t="shared" si="21"/>
        <v>28871296.354541969</v>
      </c>
      <c r="AC64" s="10">
        <f t="shared" si="22"/>
        <v>3192629.669006411</v>
      </c>
      <c r="AD64" s="10">
        <f>SUM($AC$28:AC64)</f>
        <v>24503958.717985459</v>
      </c>
      <c r="AE64" s="73">
        <f t="shared" si="6"/>
        <v>28871.29635454197</v>
      </c>
      <c r="AF64" s="73">
        <f t="shared" si="7"/>
        <v>0</v>
      </c>
      <c r="AG64" s="74">
        <f t="shared" si="8"/>
        <v>10291662.661553891</v>
      </c>
      <c r="AH64" s="10">
        <f t="shared" si="23"/>
        <v>18550762.396633536</v>
      </c>
      <c r="AO64" s="92"/>
      <c r="AP64" s="10"/>
      <c r="AQ64" s="73" t="str">
        <f t="shared" si="26"/>
        <v/>
      </c>
      <c r="AR64" s="80" t="str" cm="1">
        <f t="array" ref="AR64">IFERROR(INDEX($AQ$28:$AQ$78,_xlfn.AGGREGATE(15,3,ROW($AQ$28:$AQ$78)-ROW($AN$27)/($AQ$28:$AQ$78&lt;&gt;""),ROWS($AN$28:AN64))),"")</f>
        <v/>
      </c>
      <c r="AS64" s="73"/>
      <c r="AT64" s="73" t="str">
        <f t="shared" si="9"/>
        <v/>
      </c>
      <c r="AU64" s="85" t="str" cm="1">
        <f t="array" ref="AU64">IFERROR(INDEX($AT$28:$AT$78,_xlfn.AGGREGATE(15,3,ROW($AT$28:$AT$78)-ROW($AN$27)/($AT$28:$AT$78&lt;&gt;""),ROWS($AN$28:AN64))),"")</f>
        <v/>
      </c>
      <c r="AV64" s="10"/>
      <c r="AW64" s="10" t="str">
        <f t="shared" si="27"/>
        <v/>
      </c>
      <c r="AX64" s="90" t="str" cm="1">
        <f t="array" ref="AX64">IFERROR(INDEX($AW$28:$AW$78,_xlfn.AGGREGATE(15,3,ROW($AW$28:$AW$78)-ROW($AN$27)/($AW$28:$AW$78&lt;&gt;""),ROWS($AN$28:AN64))),"")</f>
        <v/>
      </c>
      <c r="AY64" s="10"/>
      <c r="AZ64" s="10" t="str">
        <f t="shared" si="10"/>
        <v/>
      </c>
      <c r="BA64" s="10" t="str" cm="1">
        <f t="array" ref="BA64">IFERROR(INDEX($AZ$28:$AZ$78,_xlfn.AGGREGATE(15,3,ROW($AZ$28:$AZ$78)-ROW($AN$27)/($AW$28:$AW$78&lt;&gt;""),ROWS($AN$28:AN64))),"")</f>
        <v/>
      </c>
      <c r="BB64" s="10"/>
      <c r="BC64" s="33"/>
    </row>
    <row r="65" spans="7:55">
      <c r="G65">
        <v>38</v>
      </c>
      <c r="H65" s="10">
        <f t="shared" si="28"/>
        <v>0</v>
      </c>
      <c r="I65" s="10">
        <f>SUM($H$28:H65)+M65</f>
        <v>808440.79204692016</v>
      </c>
      <c r="J65" s="10">
        <f t="shared" si="11"/>
        <v>0</v>
      </c>
      <c r="K65" s="10">
        <f t="shared" si="16"/>
        <v>24810137.862097126</v>
      </c>
      <c r="L65" s="10">
        <f t="shared" si="24"/>
        <v>28506848.403549597</v>
      </c>
      <c r="M65" s="10">
        <f t="shared" si="25"/>
        <v>628440.79204692016</v>
      </c>
      <c r="N65" s="10">
        <f t="shared" si="12"/>
        <v>27878407.611502677</v>
      </c>
      <c r="O65" s="7">
        <f t="shared" si="4"/>
        <v>167270.44566901607</v>
      </c>
      <c r="P65" s="10">
        <f t="shared" si="5"/>
        <v>27711137.165833659</v>
      </c>
      <c r="U65">
        <v>38</v>
      </c>
      <c r="V65" s="10">
        <f t="shared" si="13"/>
        <v>628440.79204692016</v>
      </c>
      <c r="W65" s="10">
        <f t="shared" si="14"/>
        <v>628440.79204692016</v>
      </c>
      <c r="X65" s="10">
        <f t="shared" si="17"/>
        <v>29499737.146588888</v>
      </c>
      <c r="Y65" s="73">
        <f t="shared" si="18"/>
        <v>1474986.8573294445</v>
      </c>
      <c r="Z65" s="73">
        <f t="shared" si="19"/>
        <v>15255.000000000002</v>
      </c>
      <c r="AA65" s="74">
        <f t="shared" si="20"/>
        <v>595764.4800783667</v>
      </c>
      <c r="AB65" s="73">
        <f t="shared" si="21"/>
        <v>33166179.55276591</v>
      </c>
      <c r="AC65" s="10">
        <f t="shared" si="22"/>
        <v>3666442.4061770216</v>
      </c>
      <c r="AD65" s="10">
        <f>SUM($AC$28:AC65)</f>
        <v>28170401.12416248</v>
      </c>
      <c r="AE65" s="73">
        <f t="shared" si="6"/>
        <v>33166.179552765912</v>
      </c>
      <c r="AF65" s="73">
        <f t="shared" si="7"/>
        <v>0</v>
      </c>
      <c r="AG65" s="74">
        <f t="shared" si="8"/>
        <v>11831568.472148241</v>
      </c>
      <c r="AH65" s="10">
        <f t="shared" si="23"/>
        <v>21301444.901064903</v>
      </c>
      <c r="AO65" s="92"/>
      <c r="AP65" s="10"/>
      <c r="AQ65" s="73" t="str">
        <f t="shared" si="26"/>
        <v/>
      </c>
      <c r="AR65" s="80" t="str" cm="1">
        <f t="array" ref="AR65">IFERROR(INDEX($AQ$28:$AQ$78,_xlfn.AGGREGATE(15,3,ROW($AQ$28:$AQ$78)-ROW($AN$27)/($AQ$28:$AQ$78&lt;&gt;""),ROWS($AN$28:AN65))),"")</f>
        <v/>
      </c>
      <c r="AS65" s="73"/>
      <c r="AT65" s="73" t="str">
        <f t="shared" si="9"/>
        <v/>
      </c>
      <c r="AU65" s="85" t="str" cm="1">
        <f t="array" ref="AU65">IFERROR(INDEX($AT$28:$AT$78,_xlfn.AGGREGATE(15,3,ROW($AT$28:$AT$78)-ROW($AN$27)/($AT$28:$AT$78&lt;&gt;""),ROWS($AN$28:AN65))),"")</f>
        <v/>
      </c>
      <c r="AV65" s="10"/>
      <c r="AW65" s="10" t="str">
        <f t="shared" si="27"/>
        <v/>
      </c>
      <c r="AX65" s="90" t="str" cm="1">
        <f t="array" ref="AX65">IFERROR(INDEX($AW$28:$AW$78,_xlfn.AGGREGATE(15,3,ROW($AW$28:$AW$78)-ROW($AN$27)/($AW$28:$AW$78&lt;&gt;""),ROWS($AN$28:AN65))),"")</f>
        <v/>
      </c>
      <c r="AY65" s="10"/>
      <c r="AZ65" s="10" t="str">
        <f t="shared" si="10"/>
        <v/>
      </c>
      <c r="BA65" s="10" t="str" cm="1">
        <f t="array" ref="BA65">IFERROR(INDEX($AZ$28:$AZ$78,_xlfn.AGGREGATE(15,3,ROW($AZ$28:$AZ$78)-ROW($AN$27)/($AW$28:$AW$78&lt;&gt;""),ROWS($AN$28:AN65))),"")</f>
        <v/>
      </c>
      <c r="BB65" s="10"/>
      <c r="BC65" s="33"/>
    </row>
    <row r="66" spans="7:55">
      <c r="G66">
        <v>39</v>
      </c>
      <c r="H66" s="10">
        <f t="shared" si="28"/>
        <v>0</v>
      </c>
      <c r="I66" s="10">
        <f>SUM($H$28:H66)+M66</f>
        <v>902078.47006191162</v>
      </c>
      <c r="J66" s="10">
        <f t="shared" si="11"/>
        <v>0</v>
      </c>
      <c r="K66" s="10">
        <f t="shared" si="16"/>
        <v>28506848.403549597</v>
      </c>
      <c r="L66" s="10">
        <f t="shared" si="24"/>
        <v>32754368.815678488</v>
      </c>
      <c r="M66" s="10">
        <f t="shared" si="25"/>
        <v>722078.47006191162</v>
      </c>
      <c r="N66" s="10">
        <f t="shared" si="12"/>
        <v>32032290.345616575</v>
      </c>
      <c r="O66" s="7">
        <f t="shared" si="4"/>
        <v>192193.74207369945</v>
      </c>
      <c r="P66" s="10">
        <f t="shared" si="5"/>
        <v>31840096.603542875</v>
      </c>
      <c r="U66">
        <v>39</v>
      </c>
      <c r="V66" s="10">
        <f t="shared" si="13"/>
        <v>722078.47006191162</v>
      </c>
      <c r="W66" s="10">
        <f t="shared" si="14"/>
        <v>722078.47006191162</v>
      </c>
      <c r="X66" s="10">
        <f t="shared" si="17"/>
        <v>33888258.022827819</v>
      </c>
      <c r="Y66" s="73">
        <f t="shared" si="18"/>
        <v>1694412.9011413911</v>
      </c>
      <c r="Z66" s="73">
        <f t="shared" si="19"/>
        <v>15255.000000000002</v>
      </c>
      <c r="AA66" s="74">
        <f t="shared" si="20"/>
        <v>687923.41847938427</v>
      </c>
      <c r="AB66" s="73">
        <f t="shared" si="21"/>
        <v>38098877.017658465</v>
      </c>
      <c r="AC66" s="10">
        <f t="shared" si="22"/>
        <v>4210618.9948306456</v>
      </c>
      <c r="AD66" s="10">
        <f>SUM($AC$28:AC66)</f>
        <v>32381020.118993126</v>
      </c>
      <c r="AE66" s="73">
        <f t="shared" si="6"/>
        <v>38098.877017658466</v>
      </c>
      <c r="AF66" s="73">
        <f t="shared" si="7"/>
        <v>0</v>
      </c>
      <c r="AG66" s="74">
        <f t="shared" si="8"/>
        <v>13600028.449977113</v>
      </c>
      <c r="AH66" s="10">
        <f t="shared" si="23"/>
        <v>24460749.690663688</v>
      </c>
      <c r="AO66" s="92"/>
      <c r="AP66" s="10"/>
      <c r="AQ66" s="73" t="str">
        <f t="shared" si="26"/>
        <v/>
      </c>
      <c r="AR66" s="80" t="str" cm="1">
        <f t="array" ref="AR66">IFERROR(INDEX($AQ$28:$AQ$78,_xlfn.AGGREGATE(15,3,ROW($AQ$28:$AQ$78)-ROW($AN$27)/($AQ$28:$AQ$78&lt;&gt;""),ROWS($AN$28:AN66))),"")</f>
        <v/>
      </c>
      <c r="AS66" s="73"/>
      <c r="AT66" s="73" t="str">
        <f t="shared" si="9"/>
        <v/>
      </c>
      <c r="AU66" s="85" t="str" cm="1">
        <f t="array" ref="AU66">IFERROR(INDEX($AT$28:$AT$78,_xlfn.AGGREGATE(15,3,ROW($AT$28:$AT$78)-ROW($AN$27)/($AT$28:$AT$78&lt;&gt;""),ROWS($AN$28:AN66))),"")</f>
        <v/>
      </c>
      <c r="AV66" s="10"/>
      <c r="AW66" s="10" t="str">
        <f t="shared" si="27"/>
        <v/>
      </c>
      <c r="AX66" s="90" t="str" cm="1">
        <f t="array" ref="AX66">IFERROR(INDEX($AW$28:$AW$78,_xlfn.AGGREGATE(15,3,ROW($AW$28:$AW$78)-ROW($AN$27)/($AW$28:$AW$78&lt;&gt;""),ROWS($AN$28:AN66))),"")</f>
        <v/>
      </c>
      <c r="AY66" s="10"/>
      <c r="AZ66" s="10" t="str">
        <f t="shared" si="10"/>
        <v/>
      </c>
      <c r="BA66" s="10" t="str" cm="1">
        <f t="array" ref="BA66">IFERROR(INDEX($AZ$28:$AZ$78,_xlfn.AGGREGATE(15,3,ROW($AZ$28:$AZ$78)-ROW($AN$27)/($AW$28:$AW$78&lt;&gt;""),ROWS($AN$28:AN66))),"")</f>
        <v/>
      </c>
      <c r="BB66" s="10"/>
      <c r="BC66" s="33"/>
    </row>
    <row r="67" spans="7:55">
      <c r="G67">
        <v>40</v>
      </c>
      <c r="H67" s="10">
        <f t="shared" si="28"/>
        <v>0</v>
      </c>
      <c r="I67" s="10">
        <f>SUM($H$28:H67)+M67</f>
        <v>1009668.1621011365</v>
      </c>
      <c r="J67" s="10">
        <f t="shared" si="11"/>
        <v>0</v>
      </c>
      <c r="K67" s="10">
        <f t="shared" si="16"/>
        <v>32754368.815678488</v>
      </c>
      <c r="L67" s="10">
        <f t="shared" si="24"/>
        <v>37634769.769214585</v>
      </c>
      <c r="M67" s="10">
        <f t="shared" si="25"/>
        <v>829668.16210113652</v>
      </c>
      <c r="N67" s="10">
        <f t="shared" si="12"/>
        <v>36805101.607113451</v>
      </c>
      <c r="O67" s="7">
        <f t="shared" si="4"/>
        <v>220830.60964268073</v>
      </c>
      <c r="P67" s="10">
        <f t="shared" si="5"/>
        <v>36584270.997470766</v>
      </c>
      <c r="U67">
        <v>40</v>
      </c>
      <c r="V67" s="10">
        <f t="shared" si="13"/>
        <v>829668.16210113652</v>
      </c>
      <c r="W67" s="10">
        <f t="shared" si="14"/>
        <v>829668.16210113652</v>
      </c>
      <c r="X67" s="10">
        <f t="shared" si="17"/>
        <v>38928545.179759599</v>
      </c>
      <c r="Y67" s="73">
        <f t="shared" si="18"/>
        <v>1946427.25898798</v>
      </c>
      <c r="Z67" s="73">
        <f t="shared" si="19"/>
        <v>15255.000000000002</v>
      </c>
      <c r="AA67" s="74">
        <f t="shared" si="20"/>
        <v>793769.44877495151</v>
      </c>
      <c r="AB67" s="73">
        <f t="shared" si="21"/>
        <v>43764159.78204979</v>
      </c>
      <c r="AC67" s="10">
        <f t="shared" si="22"/>
        <v>4835614.6022901908</v>
      </c>
      <c r="AD67" s="10">
        <f>SUM($AC$28:AC67)</f>
        <v>37216634.721283317</v>
      </c>
      <c r="AE67" s="73">
        <f t="shared" si="6"/>
        <v>43764.159782049792</v>
      </c>
      <c r="AF67" s="73">
        <f t="shared" si="7"/>
        <v>0</v>
      </c>
      <c r="AG67" s="74">
        <f t="shared" si="8"/>
        <v>15630986.582938991</v>
      </c>
      <c r="AH67" s="10">
        <f t="shared" si="23"/>
        <v>28089409.039328746</v>
      </c>
      <c r="AO67" s="92"/>
      <c r="AP67" s="10"/>
      <c r="AQ67" s="73" t="str">
        <f t="shared" si="26"/>
        <v/>
      </c>
      <c r="AR67" s="80" t="str" cm="1">
        <f t="array" ref="AR67">IFERROR(INDEX($AQ$28:$AQ$78,_xlfn.AGGREGATE(15,3,ROW($AQ$28:$AQ$78)-ROW($AN$27)/($AQ$28:$AQ$78&lt;&gt;""),ROWS($AN$28:AN67))),"")</f>
        <v/>
      </c>
      <c r="AS67" s="73"/>
      <c r="AT67" s="73" t="str">
        <f t="shared" si="9"/>
        <v/>
      </c>
      <c r="AU67" s="85" t="str" cm="1">
        <f t="array" ref="AU67">IFERROR(INDEX($AT$28:$AT$78,_xlfn.AGGREGATE(15,3,ROW($AT$28:$AT$78)-ROW($AN$27)/($AT$28:$AT$78&lt;&gt;""),ROWS($AN$28:AN67))),"")</f>
        <v/>
      </c>
      <c r="AV67" s="10"/>
      <c r="AW67" s="10" t="str">
        <f t="shared" si="27"/>
        <v/>
      </c>
      <c r="AX67" s="90" t="str" cm="1">
        <f t="array" ref="AX67">IFERROR(INDEX($AW$28:$AW$78,_xlfn.AGGREGATE(15,3,ROW($AW$28:$AW$78)-ROW($AN$27)/($AW$28:$AW$78&lt;&gt;""),ROWS($AN$28:AN67))),"")</f>
        <v/>
      </c>
      <c r="AY67" s="10"/>
      <c r="AZ67" s="10" t="str">
        <f t="shared" si="10"/>
        <v/>
      </c>
      <c r="BA67" s="10" t="str" cm="1">
        <f t="array" ref="BA67">IFERROR(INDEX($AZ$28:$AZ$78,_xlfn.AGGREGATE(15,3,ROW($AZ$28:$AZ$78)-ROW($AN$27)/($AW$28:$AW$78&lt;&gt;""),ROWS($AN$28:AN67))),"")</f>
        <v/>
      </c>
      <c r="BB67" s="10"/>
      <c r="BC67" s="33"/>
    </row>
    <row r="68" spans="7:55">
      <c r="G68">
        <v>41</v>
      </c>
      <c r="H68" s="10">
        <f t="shared" si="28"/>
        <v>0</v>
      </c>
      <c r="I68" s="10">
        <f>SUM($H$28:H68)+M68</f>
        <v>1133288.7182542058</v>
      </c>
      <c r="J68" s="10">
        <f t="shared" si="11"/>
        <v>0</v>
      </c>
      <c r="K68" s="10">
        <f t="shared" si="16"/>
        <v>37634769.769214585</v>
      </c>
      <c r="L68" s="10">
        <f t="shared" si="24"/>
        <v>43242350.46482756</v>
      </c>
      <c r="M68" s="10">
        <f t="shared" si="25"/>
        <v>953288.71825420577</v>
      </c>
      <c r="N68" s="10">
        <f t="shared" si="12"/>
        <v>42289061.746573351</v>
      </c>
      <c r="O68" s="7">
        <f t="shared" si="4"/>
        <v>253734.37047944014</v>
      </c>
      <c r="P68" s="10">
        <f t="shared" si="5"/>
        <v>42035327.376093909</v>
      </c>
      <c r="U68">
        <v>41</v>
      </c>
      <c r="V68" s="10">
        <f t="shared" si="13"/>
        <v>953288.71825420577</v>
      </c>
      <c r="W68" s="10">
        <f t="shared" si="14"/>
        <v>953288.71825420577</v>
      </c>
      <c r="X68" s="10">
        <f t="shared" si="17"/>
        <v>44717448.500303999</v>
      </c>
      <c r="Y68" s="73">
        <f t="shared" si="18"/>
        <v>2235872.4250151999</v>
      </c>
      <c r="Z68" s="73">
        <f t="shared" si="19"/>
        <v>15255.000000000002</v>
      </c>
      <c r="AA68" s="74">
        <f t="shared" si="20"/>
        <v>915336.4185063839</v>
      </c>
      <c r="AB68" s="73">
        <f t="shared" si="21"/>
        <v>50270887.114341691</v>
      </c>
      <c r="AC68" s="10">
        <f t="shared" si="22"/>
        <v>5553438.6140376925</v>
      </c>
      <c r="AD68" s="10">
        <f>SUM($AC$28:AC68)</f>
        <v>42770073.335321009</v>
      </c>
      <c r="AE68" s="73">
        <f t="shared" si="6"/>
        <v>50270.887114341691</v>
      </c>
      <c r="AF68" s="73">
        <f t="shared" si="7"/>
        <v>0</v>
      </c>
      <c r="AG68" s="74">
        <f t="shared" si="8"/>
        <v>17963430.800834823</v>
      </c>
      <c r="AH68" s="10">
        <f t="shared" si="23"/>
        <v>32257185.426392529</v>
      </c>
      <c r="AO68" s="92"/>
      <c r="AP68" s="10"/>
      <c r="AQ68" s="73" t="str">
        <f t="shared" si="26"/>
        <v/>
      </c>
      <c r="AR68" s="80" t="str" cm="1">
        <f t="array" ref="AR68">IFERROR(INDEX($AQ$28:$AQ$78,_xlfn.AGGREGATE(15,3,ROW($AQ$28:$AQ$78)-ROW($AN$27)/($AQ$28:$AQ$78&lt;&gt;""),ROWS($AN$28:AN68))),"")</f>
        <v/>
      </c>
      <c r="AS68" s="73"/>
      <c r="AT68" s="73" t="str">
        <f t="shared" si="9"/>
        <v/>
      </c>
      <c r="AU68" s="85" t="str" cm="1">
        <f t="array" ref="AU68">IFERROR(INDEX($AT$28:$AT$78,_xlfn.AGGREGATE(15,3,ROW($AT$28:$AT$78)-ROW($AN$27)/($AT$28:$AT$78&lt;&gt;""),ROWS($AN$28:AN68))),"")</f>
        <v/>
      </c>
      <c r="AV68" s="10"/>
      <c r="AW68" s="10" t="str">
        <f t="shared" si="27"/>
        <v/>
      </c>
      <c r="AX68" s="90" t="str" cm="1">
        <f t="array" ref="AX68">IFERROR(INDEX($AW$28:$AW$78,_xlfn.AGGREGATE(15,3,ROW($AW$28:$AW$78)-ROW($AN$27)/($AW$28:$AW$78&lt;&gt;""),ROWS($AN$28:AN68))),"")</f>
        <v/>
      </c>
      <c r="AY68" s="10"/>
      <c r="AZ68" s="10" t="str">
        <f t="shared" si="10"/>
        <v/>
      </c>
      <c r="BA68" s="10" t="str" cm="1">
        <f t="array" ref="BA68">IFERROR(INDEX($AZ$28:$AZ$78,_xlfn.AGGREGATE(15,3,ROW($AZ$28:$AZ$78)-ROW($AN$27)/($AW$28:$AW$78&lt;&gt;""),ROWS($AN$28:AN68))),"")</f>
        <v/>
      </c>
      <c r="BB68" s="10"/>
      <c r="BC68" s="33"/>
    </row>
    <row r="69" spans="7:55">
      <c r="G69">
        <v>42</v>
      </c>
      <c r="H69" s="10">
        <f t="shared" si="28"/>
        <v>0</v>
      </c>
      <c r="I69" s="10">
        <f>SUM($H$28:H69)+M69</f>
        <v>1275328.7372740821</v>
      </c>
      <c r="J69" s="10">
        <f t="shared" si="11"/>
        <v>0</v>
      </c>
      <c r="K69" s="10">
        <f t="shared" si="16"/>
        <v>43242350.46482756</v>
      </c>
      <c r="L69" s="10">
        <f t="shared" si="24"/>
        <v>49685460.684086867</v>
      </c>
      <c r="M69" s="10">
        <f t="shared" si="25"/>
        <v>1095328.7372740821</v>
      </c>
      <c r="N69" s="10">
        <f t="shared" si="12"/>
        <v>48590131.946812786</v>
      </c>
      <c r="O69" s="7">
        <f t="shared" si="4"/>
        <v>291540.79168087669</v>
      </c>
      <c r="P69" s="10">
        <f t="shared" si="5"/>
        <v>48298591.155131906</v>
      </c>
      <c r="U69">
        <v>42</v>
      </c>
      <c r="V69" s="10">
        <f t="shared" si="13"/>
        <v>1095328.7372740821</v>
      </c>
      <c r="W69" s="10">
        <f t="shared" si="14"/>
        <v>1095328.7372740821</v>
      </c>
      <c r="X69" s="10">
        <f t="shared" si="17"/>
        <v>51366215.851615772</v>
      </c>
      <c r="Y69" s="73">
        <f t="shared" si="18"/>
        <v>2568310.792580789</v>
      </c>
      <c r="Z69" s="73">
        <f t="shared" si="19"/>
        <v>15255.000000000002</v>
      </c>
      <c r="AA69" s="74">
        <f t="shared" si="20"/>
        <v>1054960.5328839314</v>
      </c>
      <c r="AB69" s="73">
        <f t="shared" si="21"/>
        <v>57744101.617216125</v>
      </c>
      <c r="AC69" s="10">
        <f t="shared" si="22"/>
        <v>6377885.7656003535</v>
      </c>
      <c r="AD69" s="10">
        <f>SUM($AC$28:AC69)</f>
        <v>49147959.100921363</v>
      </c>
      <c r="AE69" s="73">
        <f t="shared" si="6"/>
        <v>57744.101617216125</v>
      </c>
      <c r="AF69" s="73">
        <f t="shared" si="7"/>
        <v>0</v>
      </c>
      <c r="AG69" s="74">
        <f t="shared" si="8"/>
        <v>20642142.822386973</v>
      </c>
      <c r="AH69" s="10">
        <f t="shared" si="23"/>
        <v>37044214.693211935</v>
      </c>
      <c r="AO69" s="92"/>
      <c r="AP69" s="10"/>
      <c r="AQ69" s="73" t="str">
        <f t="shared" si="26"/>
        <v/>
      </c>
      <c r="AR69" s="80" t="str" cm="1">
        <f t="array" ref="AR69">IFERROR(INDEX($AQ$28:$AQ$78,_xlfn.AGGREGATE(15,3,ROW($AQ$28:$AQ$78)-ROW($AN$27)/($AQ$28:$AQ$78&lt;&gt;""),ROWS($AN$28:AN69))),"")</f>
        <v/>
      </c>
      <c r="AS69" s="73"/>
      <c r="AT69" s="73" t="str">
        <f t="shared" si="9"/>
        <v/>
      </c>
      <c r="AU69" s="85" t="str" cm="1">
        <f t="array" ref="AU69">IFERROR(INDEX($AT$28:$AT$78,_xlfn.AGGREGATE(15,3,ROW($AT$28:$AT$78)-ROW($AN$27)/($AT$28:$AT$78&lt;&gt;""),ROWS($AN$28:AN69))),"")</f>
        <v/>
      </c>
      <c r="AV69" s="10"/>
      <c r="AW69" s="10" t="str">
        <f t="shared" si="27"/>
        <v/>
      </c>
      <c r="AX69" s="90" t="str" cm="1">
        <f t="array" ref="AX69">IFERROR(INDEX($AW$28:$AW$78,_xlfn.AGGREGATE(15,3,ROW($AW$28:$AW$78)-ROW($AN$27)/($AW$28:$AW$78&lt;&gt;""),ROWS($AN$28:AN69))),"")</f>
        <v/>
      </c>
      <c r="AY69" s="10"/>
      <c r="AZ69" s="10" t="str">
        <f t="shared" si="10"/>
        <v/>
      </c>
      <c r="BA69" s="10" t="str" cm="1">
        <f t="array" ref="BA69">IFERROR(INDEX($AZ$28:$AZ$78,_xlfn.AGGREGATE(15,3,ROW($AZ$28:$AZ$78)-ROW($AN$27)/($AW$28:$AW$78&lt;&gt;""),ROWS($AN$28:AN69))),"")</f>
        <v/>
      </c>
      <c r="BB69" s="10"/>
      <c r="BC69" s="33"/>
    </row>
    <row r="70" spans="7:55">
      <c r="G70">
        <v>43</v>
      </c>
      <c r="H70" s="10">
        <f t="shared" si="28"/>
        <v>0</v>
      </c>
      <c r="I70" s="10">
        <f>SUM($H$28:H70)+M70</f>
        <v>1438532.71912792</v>
      </c>
      <c r="J70" s="10">
        <f t="shared" si="11"/>
        <v>0</v>
      </c>
      <c r="K70" s="10">
        <f t="shared" si="16"/>
        <v>49685460.684086867</v>
      </c>
      <c r="L70" s="10">
        <f t="shared" si="24"/>
        <v>57088594.326015808</v>
      </c>
      <c r="M70" s="10">
        <f t="shared" si="25"/>
        <v>1258532.71912792</v>
      </c>
      <c r="N70" s="10">
        <f t="shared" si="12"/>
        <v>55830061.606887884</v>
      </c>
      <c r="O70" s="7">
        <f t="shared" si="4"/>
        <v>334980.36964132736</v>
      </c>
      <c r="P70" s="10">
        <f t="shared" si="5"/>
        <v>55495081.237246558</v>
      </c>
      <c r="U70">
        <v>43</v>
      </c>
      <c r="V70" s="10">
        <f t="shared" si="13"/>
        <v>1258532.71912792</v>
      </c>
      <c r="W70" s="10">
        <f t="shared" si="14"/>
        <v>1258532.71912792</v>
      </c>
      <c r="X70" s="10">
        <f t="shared" si="17"/>
        <v>59002634.336344048</v>
      </c>
      <c r="Y70" s="73">
        <f t="shared" si="18"/>
        <v>2950131.7168172025</v>
      </c>
      <c r="Z70" s="73">
        <f t="shared" si="19"/>
        <v>15255.000000000002</v>
      </c>
      <c r="AA70" s="74">
        <f t="shared" si="20"/>
        <v>1215325.3210632249</v>
      </c>
      <c r="AB70" s="73">
        <f t="shared" si="21"/>
        <v>66327435.994050711</v>
      </c>
      <c r="AC70" s="10">
        <f t="shared" si="22"/>
        <v>7324801.657706663</v>
      </c>
      <c r="AD70" s="10">
        <f>SUM($AC$28:AC70)</f>
        <v>56472760.758628026</v>
      </c>
      <c r="AE70" s="73">
        <f t="shared" si="6"/>
        <v>66327.435994050713</v>
      </c>
      <c r="AF70" s="73">
        <f t="shared" si="7"/>
        <v>0</v>
      </c>
      <c r="AG70" s="74">
        <f t="shared" si="8"/>
        <v>23718559.518623769</v>
      </c>
      <c r="AH70" s="10">
        <f t="shared" si="23"/>
        <v>42542549.039432891</v>
      </c>
      <c r="AO70" s="92"/>
      <c r="AP70" s="10"/>
      <c r="AQ70" s="73" t="str">
        <f t="shared" si="26"/>
        <v/>
      </c>
      <c r="AR70" s="80" t="str" cm="1">
        <f t="array" ref="AR70">IFERROR(INDEX($AQ$28:$AQ$78,_xlfn.AGGREGATE(15,3,ROW($AQ$28:$AQ$78)-ROW($AN$27)/($AQ$28:$AQ$78&lt;&gt;""),ROWS($AN$28:AN70))),"")</f>
        <v/>
      </c>
      <c r="AS70" s="73"/>
      <c r="AT70" s="73" t="str">
        <f t="shared" si="9"/>
        <v/>
      </c>
      <c r="AU70" s="85" t="str" cm="1">
        <f t="array" ref="AU70">IFERROR(INDEX($AT$28:$AT$78,_xlfn.AGGREGATE(15,3,ROW($AT$28:$AT$78)-ROW($AN$27)/($AT$28:$AT$78&lt;&gt;""),ROWS($AN$28:AN70))),"")</f>
        <v/>
      </c>
      <c r="AV70" s="10"/>
      <c r="AW70" s="10" t="str">
        <f t="shared" si="27"/>
        <v/>
      </c>
      <c r="AX70" s="90" t="str" cm="1">
        <f t="array" ref="AX70">IFERROR(INDEX($AW$28:$AW$78,_xlfn.AGGREGATE(15,3,ROW($AW$28:$AW$78)-ROW($AN$27)/($AW$28:$AW$78&lt;&gt;""),ROWS($AN$28:AN70))),"")</f>
        <v/>
      </c>
      <c r="AY70" s="10"/>
      <c r="AZ70" s="10" t="str">
        <f t="shared" si="10"/>
        <v/>
      </c>
      <c r="BA70" s="10" t="str" cm="1">
        <f t="array" ref="BA70">IFERROR(INDEX($AZ$28:$AZ$78,_xlfn.AGGREGATE(15,3,ROW($AZ$28:$AZ$78)-ROW($AN$27)/($AW$28:$AW$78&lt;&gt;""),ROWS($AN$28:AN70))),"")</f>
        <v/>
      </c>
      <c r="BB70" s="10"/>
      <c r="BC70" s="33"/>
    </row>
    <row r="71" spans="7:55">
      <c r="G71">
        <v>44</v>
      </c>
      <c r="H71" s="10">
        <f t="shared" si="28"/>
        <v>0</v>
      </c>
      <c r="I71" s="10">
        <f>SUM($H$28:H71)+M71</f>
        <v>1626054.0942779812</v>
      </c>
      <c r="J71" s="10">
        <f t="shared" si="11"/>
        <v>0</v>
      </c>
      <c r="K71" s="10">
        <f t="shared" si="16"/>
        <v>57088594.326015808</v>
      </c>
      <c r="L71" s="10">
        <f t="shared" si="24"/>
        <v>65594794.880592167</v>
      </c>
      <c r="M71" s="10">
        <f t="shared" si="25"/>
        <v>1446054.0942779812</v>
      </c>
      <c r="N71" s="10">
        <f t="shared" si="12"/>
        <v>64148740.786314189</v>
      </c>
      <c r="O71" s="7">
        <f t="shared" si="4"/>
        <v>384892.44471788511</v>
      </c>
      <c r="P71" s="10">
        <f t="shared" si="5"/>
        <v>63763848.341596305</v>
      </c>
      <c r="U71">
        <v>44</v>
      </c>
      <c r="V71" s="10">
        <f t="shared" si="13"/>
        <v>1446054.0942779812</v>
      </c>
      <c r="W71" s="10">
        <f t="shared" si="14"/>
        <v>1446054.0942779812</v>
      </c>
      <c r="X71" s="10">
        <f t="shared" si="17"/>
        <v>67773490.088328689</v>
      </c>
      <c r="Y71" s="73">
        <f t="shared" si="18"/>
        <v>3388674.5044164346</v>
      </c>
      <c r="Z71" s="73">
        <f t="shared" si="19"/>
        <v>15255.000000000002</v>
      </c>
      <c r="AA71" s="74">
        <f t="shared" si="20"/>
        <v>1399513.2918549024</v>
      </c>
      <c r="AB71" s="73">
        <f t="shared" si="21"/>
        <v>76185877.859281451</v>
      </c>
      <c r="AC71" s="10">
        <f t="shared" si="22"/>
        <v>8412387.7709527612</v>
      </c>
      <c r="AD71" s="10">
        <f>SUM($AC$28:AC71)</f>
        <v>64885148.529580787</v>
      </c>
      <c r="AE71" s="73">
        <f t="shared" si="6"/>
        <v>76185.877859281449</v>
      </c>
      <c r="AF71" s="73">
        <f t="shared" si="7"/>
        <v>0</v>
      </c>
      <c r="AG71" s="74">
        <f t="shared" si="8"/>
        <v>27251762.38242393</v>
      </c>
      <c r="AH71" s="10">
        <f t="shared" si="23"/>
        <v>48857929.598998241</v>
      </c>
      <c r="AO71" s="92"/>
      <c r="AP71" s="10"/>
      <c r="AQ71" s="73" t="str">
        <f t="shared" si="26"/>
        <v/>
      </c>
      <c r="AR71" s="80" t="str" cm="1">
        <f t="array" ref="AR71">IFERROR(INDEX($AQ$28:$AQ$78,_xlfn.AGGREGATE(15,3,ROW($AQ$28:$AQ$78)-ROW($AN$27)/($AQ$28:$AQ$78&lt;&gt;""),ROWS($AN$28:AN71))),"")</f>
        <v/>
      </c>
      <c r="AS71" s="73"/>
      <c r="AT71" s="73" t="str">
        <f t="shared" si="9"/>
        <v/>
      </c>
      <c r="AU71" s="85" t="str" cm="1">
        <f t="array" ref="AU71">IFERROR(INDEX($AT$28:$AT$78,_xlfn.AGGREGATE(15,3,ROW($AT$28:$AT$78)-ROW($AN$27)/($AT$28:$AT$78&lt;&gt;""),ROWS($AN$28:AN71))),"")</f>
        <v/>
      </c>
      <c r="AV71" s="10"/>
      <c r="AW71" s="10" t="str">
        <f t="shared" si="27"/>
        <v/>
      </c>
      <c r="AX71" s="90" t="str" cm="1">
        <f t="array" ref="AX71">IFERROR(INDEX($AW$28:$AW$78,_xlfn.AGGREGATE(15,3,ROW($AW$28:$AW$78)-ROW($AN$27)/($AW$28:$AW$78&lt;&gt;""),ROWS($AN$28:AN71))),"")</f>
        <v/>
      </c>
      <c r="AY71" s="10"/>
      <c r="AZ71" s="10" t="str">
        <f t="shared" si="10"/>
        <v/>
      </c>
      <c r="BA71" s="10" t="str" cm="1">
        <f t="array" ref="BA71">IFERROR(INDEX($AZ$28:$AZ$78,_xlfn.AGGREGATE(15,3,ROW($AZ$28:$AZ$78)-ROW($AN$27)/($AW$28:$AW$78&lt;&gt;""),ROWS($AN$28:AN71))),"")</f>
        <v/>
      </c>
      <c r="BB71" s="10"/>
      <c r="BC71" s="33"/>
    </row>
    <row r="72" spans="7:55">
      <c r="G72">
        <v>45</v>
      </c>
      <c r="H72" s="10">
        <f t="shared" si="28"/>
        <v>0</v>
      </c>
      <c r="I72" s="10">
        <f>SUM($H$28:H72)+M72</f>
        <v>1841516.1543254</v>
      </c>
      <c r="J72" s="10">
        <f t="shared" si="11"/>
        <v>0</v>
      </c>
      <c r="K72" s="10">
        <f t="shared" si="16"/>
        <v>65594794.880592167</v>
      </c>
      <c r="L72" s="10">
        <f t="shared" si="24"/>
        <v>75368419.317800403</v>
      </c>
      <c r="M72" s="10">
        <f t="shared" si="25"/>
        <v>1661516.1543254</v>
      </c>
      <c r="N72" s="10">
        <f t="shared" si="12"/>
        <v>73706903.163475007</v>
      </c>
      <c r="O72" s="7">
        <f t="shared" si="4"/>
        <v>442241.41898085002</v>
      </c>
      <c r="P72" s="10">
        <f t="shared" si="5"/>
        <v>73264661.744494155</v>
      </c>
      <c r="U72">
        <v>45</v>
      </c>
      <c r="V72" s="10">
        <f t="shared" si="13"/>
        <v>1661516.1543254</v>
      </c>
      <c r="W72" s="10">
        <f t="shared" si="14"/>
        <v>1661516.1543254</v>
      </c>
      <c r="X72" s="10">
        <f t="shared" si="17"/>
        <v>77847394.013606846</v>
      </c>
      <c r="Y72" s="73">
        <f t="shared" si="18"/>
        <v>3892369.7006803425</v>
      </c>
      <c r="Z72" s="73">
        <f t="shared" si="19"/>
        <v>15255.000000000002</v>
      </c>
      <c r="AA72" s="74">
        <f t="shared" si="20"/>
        <v>1611065.2742857437</v>
      </c>
      <c r="AB72" s="73">
        <f t="shared" si="21"/>
        <v>87508945.871294096</v>
      </c>
      <c r="AC72" s="10">
        <f t="shared" si="22"/>
        <v>9661551.8576872498</v>
      </c>
      <c r="AD72" s="10">
        <f>SUM($AC$28:AC72)</f>
        <v>74546700.387268037</v>
      </c>
      <c r="AE72" s="73">
        <f t="shared" si="6"/>
        <v>87508.945871294098</v>
      </c>
      <c r="AF72" s="73">
        <f t="shared" si="7"/>
        <v>0</v>
      </c>
      <c r="AG72" s="74">
        <f t="shared" si="8"/>
        <v>31309614.162652574</v>
      </c>
      <c r="AH72" s="10">
        <f t="shared" si="23"/>
        <v>56111822.762770228</v>
      </c>
      <c r="AO72" s="92"/>
      <c r="AP72" s="10"/>
      <c r="AQ72" s="73" t="str">
        <f t="shared" si="26"/>
        <v/>
      </c>
      <c r="AR72" s="80" t="str" cm="1">
        <f t="array" ref="AR72">IFERROR(INDEX($AQ$28:$AQ$78,_xlfn.AGGREGATE(15,3,ROW($AQ$28:$AQ$78)-ROW($AN$27)/($AQ$28:$AQ$78&lt;&gt;""),ROWS($AN$28:AN72))),"")</f>
        <v/>
      </c>
      <c r="AS72" s="73"/>
      <c r="AT72" s="73" t="str">
        <f t="shared" si="9"/>
        <v/>
      </c>
      <c r="AU72" s="85" t="str" cm="1">
        <f t="array" ref="AU72">IFERROR(INDEX($AT$28:$AT$78,_xlfn.AGGREGATE(15,3,ROW($AT$28:$AT$78)-ROW($AN$27)/($AT$28:$AT$78&lt;&gt;""),ROWS($AN$28:AN72))),"")</f>
        <v/>
      </c>
      <c r="AV72" s="10"/>
      <c r="AW72" s="10" t="str">
        <f t="shared" si="27"/>
        <v/>
      </c>
      <c r="AX72" s="90" t="str" cm="1">
        <f t="array" ref="AX72">IFERROR(INDEX($AW$28:$AW$78,_xlfn.AGGREGATE(15,3,ROW($AW$28:$AW$78)-ROW($AN$27)/($AW$28:$AW$78&lt;&gt;""),ROWS($AN$28:AN72))),"")</f>
        <v/>
      </c>
      <c r="AY72" s="10"/>
      <c r="AZ72" s="10" t="str">
        <f t="shared" si="10"/>
        <v/>
      </c>
      <c r="BA72" s="10" t="str" cm="1">
        <f t="array" ref="BA72">IFERROR(INDEX($AZ$28:$AZ$78,_xlfn.AGGREGATE(15,3,ROW($AZ$28:$AZ$78)-ROW($AN$27)/($AW$28:$AW$78&lt;&gt;""),ROWS($AN$28:AN72))),"")</f>
        <v/>
      </c>
      <c r="BB72" s="10"/>
      <c r="BC72" s="33"/>
    </row>
    <row r="73" spans="7:55">
      <c r="G73">
        <v>46</v>
      </c>
      <c r="H73" s="10">
        <f t="shared" si="28"/>
        <v>0</v>
      </c>
      <c r="I73" s="10">
        <f>SUM($H$28:H73)+M73</f>
        <v>2089082.0613198848</v>
      </c>
      <c r="J73" s="10">
        <f t="shared" si="11"/>
        <v>0</v>
      </c>
      <c r="K73" s="10">
        <f t="shared" si="16"/>
        <v>75368419.317800403</v>
      </c>
      <c r="L73" s="10">
        <f t="shared" si="24"/>
        <v>86598313.796152666</v>
      </c>
      <c r="M73" s="10">
        <f t="shared" si="25"/>
        <v>1909082.0613198848</v>
      </c>
      <c r="N73" s="10">
        <f t="shared" si="12"/>
        <v>84689231.734832779</v>
      </c>
      <c r="O73" s="7">
        <f t="shared" si="4"/>
        <v>508135.39040899673</v>
      </c>
      <c r="P73" s="10">
        <f t="shared" si="5"/>
        <v>84181096.344423786</v>
      </c>
      <c r="U73">
        <v>46</v>
      </c>
      <c r="V73" s="10">
        <f t="shared" si="13"/>
        <v>1909082.0613198848</v>
      </c>
      <c r="W73" s="10">
        <f t="shared" si="14"/>
        <v>1909082.0613198848</v>
      </c>
      <c r="X73" s="10">
        <f t="shared" si="17"/>
        <v>89418027.932613984</v>
      </c>
      <c r="Y73" s="73">
        <f t="shared" si="18"/>
        <v>4470901.3966306997</v>
      </c>
      <c r="Z73" s="73">
        <f t="shared" si="19"/>
        <v>15255.000000000002</v>
      </c>
      <c r="AA73" s="74">
        <f t="shared" si="20"/>
        <v>1854048.5865848938</v>
      </c>
      <c r="AB73" s="73">
        <f t="shared" si="21"/>
        <v>100514338.39625812</v>
      </c>
      <c r="AC73" s="10">
        <f t="shared" si="22"/>
        <v>11096310.463644132</v>
      </c>
      <c r="AD73" s="10">
        <f>SUM($AC$28:AC73)</f>
        <v>85643010.850912169</v>
      </c>
      <c r="AE73" s="73">
        <f t="shared" si="6"/>
        <v>100514.33839625811</v>
      </c>
      <c r="AF73" s="73">
        <f t="shared" si="7"/>
        <v>0</v>
      </c>
      <c r="AG73" s="74">
        <f t="shared" si="8"/>
        <v>35970064.557383113</v>
      </c>
      <c r="AH73" s="10">
        <f t="shared" si="23"/>
        <v>64443759.500478752</v>
      </c>
      <c r="AO73" s="92"/>
      <c r="AP73" s="10"/>
      <c r="AQ73" s="73" t="str">
        <f t="shared" si="26"/>
        <v/>
      </c>
      <c r="AR73" s="80" t="str" cm="1">
        <f t="array" ref="AR73">IFERROR(INDEX($AQ$28:$AQ$78,_xlfn.AGGREGATE(15,3,ROW($AQ$28:$AQ$78)-ROW($AN$27)/($AQ$28:$AQ$78&lt;&gt;""),ROWS($AN$28:AN73))),"")</f>
        <v/>
      </c>
      <c r="AS73" s="73"/>
      <c r="AT73" s="73" t="str">
        <f t="shared" si="9"/>
        <v/>
      </c>
      <c r="AU73" s="85" t="str" cm="1">
        <f t="array" ref="AU73">IFERROR(INDEX($AT$28:$AT$78,_xlfn.AGGREGATE(15,3,ROW($AT$28:$AT$78)-ROW($AN$27)/($AT$28:$AT$78&lt;&gt;""),ROWS($AN$28:AN73))),"")</f>
        <v/>
      </c>
      <c r="AV73" s="10"/>
      <c r="AW73" s="10" t="str">
        <f t="shared" si="27"/>
        <v/>
      </c>
      <c r="AX73" s="90" t="str" cm="1">
        <f t="array" ref="AX73">IFERROR(INDEX($AW$28:$AW$78,_xlfn.AGGREGATE(15,3,ROW($AW$28:$AW$78)-ROW($AN$27)/($AW$28:$AW$78&lt;&gt;""),ROWS($AN$28:AN73))),"")</f>
        <v/>
      </c>
      <c r="AY73" s="10"/>
      <c r="AZ73" s="10" t="str">
        <f t="shared" si="10"/>
        <v/>
      </c>
      <c r="BA73" s="10" t="str" cm="1">
        <f t="array" ref="BA73">IFERROR(INDEX($AZ$28:$AZ$78,_xlfn.AGGREGATE(15,3,ROW($AZ$28:$AZ$78)-ROW($AN$27)/($AW$28:$AW$78&lt;&gt;""),ROWS($AN$28:AN73))),"")</f>
        <v/>
      </c>
      <c r="BB73" s="10"/>
      <c r="BC73" s="33"/>
    </row>
    <row r="74" spans="7:55">
      <c r="G74">
        <v>47</v>
      </c>
      <c r="H74" s="10">
        <f t="shared" si="28"/>
        <v>0</v>
      </c>
      <c r="I74" s="10">
        <f>SUM($H$28:H74)+M74</f>
        <v>2373535.288456548</v>
      </c>
      <c r="J74" s="10">
        <f t="shared" si="11"/>
        <v>0</v>
      </c>
      <c r="K74" s="10">
        <f t="shared" si="16"/>
        <v>86598313.796152666</v>
      </c>
      <c r="L74" s="10">
        <f t="shared" si="24"/>
        <v>99501462.551779419</v>
      </c>
      <c r="M74" s="10">
        <f t="shared" si="25"/>
        <v>2193535.288456548</v>
      </c>
      <c r="N74" s="10">
        <f t="shared" si="12"/>
        <v>97307927.263322875</v>
      </c>
      <c r="O74" s="7">
        <f t="shared" si="4"/>
        <v>583847.56357993733</v>
      </c>
      <c r="P74" s="10">
        <f t="shared" si="5"/>
        <v>96724079.699742943</v>
      </c>
      <c r="U74">
        <v>47</v>
      </c>
      <c r="V74" s="10">
        <f t="shared" si="13"/>
        <v>2193535.288456548</v>
      </c>
      <c r="W74" s="10">
        <f t="shared" si="14"/>
        <v>2193535.288456548</v>
      </c>
      <c r="X74" s="10">
        <f t="shared" si="17"/>
        <v>102707873.68471466</v>
      </c>
      <c r="Y74" s="73">
        <f t="shared" si="18"/>
        <v>5135393.684235733</v>
      </c>
      <c r="Z74" s="73">
        <f t="shared" si="19"/>
        <v>15255.000000000002</v>
      </c>
      <c r="AA74" s="74">
        <f t="shared" si="20"/>
        <v>2133135.3473790078</v>
      </c>
      <c r="AB74" s="73">
        <f t="shared" si="21"/>
        <v>115452125.02161928</v>
      </c>
      <c r="AC74" s="10">
        <f t="shared" si="22"/>
        <v>12744251.336904615</v>
      </c>
      <c r="AD74" s="10">
        <f>SUM($AC$28:AC74)</f>
        <v>98387262.187816784</v>
      </c>
      <c r="AE74" s="73">
        <f t="shared" si="6"/>
        <v>115452.12502161927</v>
      </c>
      <c r="AF74" s="73">
        <f t="shared" si="7"/>
        <v>0</v>
      </c>
      <c r="AG74" s="74">
        <f t="shared" si="8"/>
        <v>41322650.118883051</v>
      </c>
      <c r="AH74" s="10">
        <f t="shared" si="23"/>
        <v>74014022.77771461</v>
      </c>
      <c r="AO74" s="92"/>
      <c r="AP74" s="10"/>
      <c r="AQ74" s="73" t="str">
        <f t="shared" si="26"/>
        <v/>
      </c>
      <c r="AR74" s="80" t="str" cm="1">
        <f t="array" ref="AR74">IFERROR(INDEX($AQ$28:$AQ$78,_xlfn.AGGREGATE(15,3,ROW($AQ$28:$AQ$78)-ROW($AN$27)/($AQ$28:$AQ$78&lt;&gt;""),ROWS($AN$28:AN74))),"")</f>
        <v/>
      </c>
      <c r="AS74" s="73"/>
      <c r="AT74" s="73" t="str">
        <f t="shared" si="9"/>
        <v/>
      </c>
      <c r="AU74" s="85" t="str" cm="1">
        <f t="array" ref="AU74">IFERROR(INDEX($AT$28:$AT$78,_xlfn.AGGREGATE(15,3,ROW($AT$28:$AT$78)-ROW($AN$27)/($AT$28:$AT$78&lt;&gt;""),ROWS($AN$28:AN74))),"")</f>
        <v/>
      </c>
      <c r="AV74" s="10"/>
      <c r="AW74" s="10" t="str">
        <f t="shared" si="27"/>
        <v/>
      </c>
      <c r="AX74" s="90" t="str" cm="1">
        <f t="array" ref="AX74">IFERROR(INDEX($AW$28:$AW$78,_xlfn.AGGREGATE(15,3,ROW($AW$28:$AW$78)-ROW($AN$27)/($AW$28:$AW$78&lt;&gt;""),ROWS($AN$28:AN74))),"")</f>
        <v/>
      </c>
      <c r="AY74" s="10"/>
      <c r="AZ74" s="10" t="str">
        <f t="shared" si="10"/>
        <v/>
      </c>
      <c r="BA74" s="10" t="str" cm="1">
        <f t="array" ref="BA74">IFERROR(INDEX($AZ$28:$AZ$78,_xlfn.AGGREGATE(15,3,ROW($AZ$28:$AZ$78)-ROW($AN$27)/($AW$28:$AW$78&lt;&gt;""),ROWS($AN$28:AN74))),"")</f>
        <v/>
      </c>
      <c r="BB74" s="10"/>
      <c r="BC74" s="33"/>
    </row>
    <row r="75" spans="7:55">
      <c r="G75">
        <v>48</v>
      </c>
      <c r="H75" s="10">
        <f t="shared" si="28"/>
        <v>0</v>
      </c>
      <c r="I75" s="10">
        <f>SUM($H$28:H75)+M75</f>
        <v>2700372.0464365724</v>
      </c>
      <c r="J75" s="10">
        <f t="shared" si="11"/>
        <v>0</v>
      </c>
      <c r="K75" s="10">
        <f t="shared" si="16"/>
        <v>99501462.551779419</v>
      </c>
      <c r="L75" s="10">
        <f t="shared" si="24"/>
        <v>114327180.47199455</v>
      </c>
      <c r="M75" s="10">
        <f t="shared" si="25"/>
        <v>2520372.0464365724</v>
      </c>
      <c r="N75" s="10">
        <f t="shared" si="12"/>
        <v>111806808.42555797</v>
      </c>
      <c r="O75" s="7">
        <f t="shared" si="4"/>
        <v>670840.85055334773</v>
      </c>
      <c r="P75" s="10">
        <f t="shared" si="5"/>
        <v>111135967.57500462</v>
      </c>
      <c r="U75">
        <v>48</v>
      </c>
      <c r="V75" s="10">
        <f t="shared" si="13"/>
        <v>2520372.0464365724</v>
      </c>
      <c r="W75" s="10">
        <f t="shared" si="14"/>
        <v>2520372.0464365724</v>
      </c>
      <c r="X75" s="10">
        <f t="shared" si="17"/>
        <v>117972497.06805585</v>
      </c>
      <c r="Y75" s="73">
        <f t="shared" si="18"/>
        <v>5898624.8534027934</v>
      </c>
      <c r="Z75" s="73">
        <f t="shared" si="19"/>
        <v>15255.000000000002</v>
      </c>
      <c r="AA75" s="74">
        <f t="shared" si="20"/>
        <v>2453692.4384291731</v>
      </c>
      <c r="AB75" s="73">
        <f t="shared" si="21"/>
        <v>132609561.70449477</v>
      </c>
      <c r="AC75" s="10">
        <f t="shared" si="22"/>
        <v>14637064.636438921</v>
      </c>
      <c r="AD75" s="10">
        <f>SUM($AC$28:AC75)</f>
        <v>113024326.8242557</v>
      </c>
      <c r="AE75" s="73">
        <f t="shared" si="6"/>
        <v>132609.56170449479</v>
      </c>
      <c r="AF75" s="73">
        <f t="shared" si="7"/>
        <v>0</v>
      </c>
      <c r="AG75" s="74">
        <f t="shared" si="8"/>
        <v>47470217.266187392</v>
      </c>
      <c r="AH75" s="10">
        <f t="shared" si="23"/>
        <v>85006734.876602888</v>
      </c>
      <c r="AO75" s="92"/>
      <c r="AP75" s="10"/>
      <c r="AQ75" s="73" t="str">
        <f t="shared" si="26"/>
        <v/>
      </c>
      <c r="AR75" s="80" t="str" cm="1">
        <f t="array" ref="AR75">IFERROR(INDEX($AQ$28:$AQ$78,_xlfn.AGGREGATE(15,3,ROW($AQ$28:$AQ$78)-ROW($AN$27)/($AQ$28:$AQ$78&lt;&gt;""),ROWS($AN$28:AN75))),"")</f>
        <v/>
      </c>
      <c r="AS75" s="73"/>
      <c r="AT75" s="73" t="str">
        <f t="shared" si="9"/>
        <v/>
      </c>
      <c r="AU75" s="85" t="str" cm="1">
        <f t="array" ref="AU75">IFERROR(INDEX($AT$28:$AT$78,_xlfn.AGGREGATE(15,3,ROW($AT$28:$AT$78)-ROW($AN$27)/($AT$28:$AT$78&lt;&gt;""),ROWS($AN$28:AN75))),"")</f>
        <v/>
      </c>
      <c r="AV75" s="10"/>
      <c r="AW75" s="10" t="str">
        <f t="shared" si="27"/>
        <v/>
      </c>
      <c r="AX75" s="90" t="str" cm="1">
        <f t="array" ref="AX75">IFERROR(INDEX($AW$28:$AW$78,_xlfn.AGGREGATE(15,3,ROW($AW$28:$AW$78)-ROW($AN$27)/($AW$28:$AW$78&lt;&gt;""),ROWS($AN$28:AN75))),"")</f>
        <v/>
      </c>
      <c r="AY75" s="10"/>
      <c r="AZ75" s="10" t="str">
        <f t="shared" si="10"/>
        <v/>
      </c>
      <c r="BA75" s="10" t="str" cm="1">
        <f t="array" ref="BA75">IFERROR(INDEX($AZ$28:$AZ$78,_xlfn.AGGREGATE(15,3,ROW($AZ$28:$AZ$78)-ROW($AN$27)/($AW$28:$AW$78&lt;&gt;""),ROWS($AN$28:AN75))),"")</f>
        <v/>
      </c>
      <c r="BB75" s="10"/>
      <c r="BC75" s="33"/>
    </row>
    <row r="76" spans="7:55">
      <c r="G76">
        <v>49</v>
      </c>
      <c r="H76" s="10">
        <f t="shared" si="28"/>
        <v>0</v>
      </c>
      <c r="I76" s="10">
        <f>SUM($H$28:H76)+M76</f>
        <v>3075907.4813556219</v>
      </c>
      <c r="J76" s="10">
        <f t="shared" si="11"/>
        <v>0</v>
      </c>
      <c r="K76" s="10">
        <f t="shared" si="16"/>
        <v>114327180.47199455</v>
      </c>
      <c r="L76" s="10">
        <f t="shared" si="24"/>
        <v>131361930.36232173</v>
      </c>
      <c r="M76" s="10">
        <f t="shared" si="25"/>
        <v>2895907.4813556219</v>
      </c>
      <c r="N76" s="10">
        <f t="shared" si="12"/>
        <v>128466022.88096611</v>
      </c>
      <c r="O76" s="7">
        <f t="shared" si="4"/>
        <v>770796.13728579669</v>
      </c>
      <c r="P76" s="10">
        <f t="shared" si="5"/>
        <v>127695226.74368031</v>
      </c>
      <c r="U76">
        <v>49</v>
      </c>
      <c r="V76" s="10">
        <f t="shared" si="13"/>
        <v>2895907.4813556219</v>
      </c>
      <c r="W76" s="10">
        <f t="shared" si="14"/>
        <v>2895907.4813556219</v>
      </c>
      <c r="X76" s="10">
        <f t="shared" si="17"/>
        <v>135505469.18585038</v>
      </c>
      <c r="Y76" s="73">
        <f t="shared" si="18"/>
        <v>6775273.4592925198</v>
      </c>
      <c r="Z76" s="73">
        <f t="shared" si="19"/>
        <v>15255.000000000002</v>
      </c>
      <c r="AA76" s="74">
        <f t="shared" si="20"/>
        <v>2821884.8529028581</v>
      </c>
      <c r="AB76" s="73">
        <f t="shared" si="21"/>
        <v>152316622.36489585</v>
      </c>
      <c r="AC76" s="10">
        <f t="shared" si="22"/>
        <v>16811153.179045469</v>
      </c>
      <c r="AD76" s="10">
        <f>SUM($AC$28:AC76)</f>
        <v>129835480.00330117</v>
      </c>
      <c r="AE76" s="73">
        <f t="shared" si="6"/>
        <v>152316.62236489585</v>
      </c>
      <c r="AF76" s="73">
        <f t="shared" si="7"/>
        <v>0</v>
      </c>
      <c r="AG76" s="74">
        <f t="shared" si="8"/>
        <v>54530901.601386487</v>
      </c>
      <c r="AH76" s="10">
        <f t="shared" si="23"/>
        <v>97633404.141144454</v>
      </c>
      <c r="AO76" s="92"/>
      <c r="AP76" s="10"/>
      <c r="AQ76" s="73" t="str">
        <f t="shared" si="26"/>
        <v/>
      </c>
      <c r="AR76" s="80" t="str" cm="1">
        <f t="array" ref="AR76">IFERROR(INDEX($AQ$28:$AQ$78,_xlfn.AGGREGATE(15,3,ROW($AQ$28:$AQ$78)-ROW($AN$27)/($AQ$28:$AQ$78&lt;&gt;""),ROWS($AN$28:AN76))),"")</f>
        <v/>
      </c>
      <c r="AS76" s="73"/>
      <c r="AT76" s="73" t="str">
        <f t="shared" si="9"/>
        <v/>
      </c>
      <c r="AU76" s="85" t="str" cm="1">
        <f t="array" ref="AU76">IFERROR(INDEX($AT$28:$AT$78,_xlfn.AGGREGATE(15,3,ROW($AT$28:$AT$78)-ROW($AN$27)/($AT$28:$AT$78&lt;&gt;""),ROWS($AN$28:AN76))),"")</f>
        <v/>
      </c>
      <c r="AV76" s="10"/>
      <c r="AW76" s="10" t="str">
        <f t="shared" si="27"/>
        <v/>
      </c>
      <c r="AX76" s="90" t="str" cm="1">
        <f t="array" ref="AX76">IFERROR(INDEX($AW$28:$AW$78,_xlfn.AGGREGATE(15,3,ROW($AW$28:$AW$78)-ROW($AN$27)/($AW$28:$AW$78&lt;&gt;""),ROWS($AN$28:AN76))),"")</f>
        <v/>
      </c>
      <c r="AY76" s="10"/>
      <c r="AZ76" s="10" t="str">
        <f t="shared" si="10"/>
        <v/>
      </c>
      <c r="BA76" s="10" t="str" cm="1">
        <f t="array" ref="BA76">IFERROR(INDEX($AZ$28:$AZ$78,_xlfn.AGGREGATE(15,3,ROW($AZ$28:$AZ$78)-ROW($AN$27)/($AW$28:$AW$78&lt;&gt;""),ROWS($AN$28:AN76))),"")</f>
        <v/>
      </c>
      <c r="BB76" s="10"/>
      <c r="BC76" s="33"/>
    </row>
    <row r="77" spans="7:55">
      <c r="G77">
        <v>50</v>
      </c>
      <c r="H77" s="10">
        <f t="shared" si="28"/>
        <v>0</v>
      </c>
      <c r="I77" s="10">
        <f>SUM($H$28:H77)+M77</f>
        <v>3507397.6960776113</v>
      </c>
      <c r="J77" s="10">
        <f t="shared" si="11"/>
        <v>0</v>
      </c>
      <c r="K77" s="10">
        <f t="shared" si="16"/>
        <v>131361930.36232173</v>
      </c>
      <c r="L77" s="10">
        <f t="shared" si="24"/>
        <v>150934857.98630768</v>
      </c>
      <c r="M77" s="10">
        <f t="shared" si="25"/>
        <v>3327397.6960776113</v>
      </c>
      <c r="N77" s="10">
        <f t="shared" si="12"/>
        <v>147607460.29023007</v>
      </c>
      <c r="O77" s="7">
        <f t="shared" si="4"/>
        <v>885644.76174138044</v>
      </c>
      <c r="P77" s="10">
        <f t="shared" si="5"/>
        <v>146721815.5284887</v>
      </c>
      <c r="U77">
        <v>50</v>
      </c>
      <c r="V77" s="10">
        <f t="shared" si="13"/>
        <v>3327397.6960776113</v>
      </c>
      <c r="W77" s="10">
        <f t="shared" si="14"/>
        <v>3327397.6960776113</v>
      </c>
      <c r="X77" s="10">
        <f t="shared" si="17"/>
        <v>155644020.06097347</v>
      </c>
      <c r="Y77" s="73">
        <f t="shared" si="18"/>
        <v>7782201.0030486733</v>
      </c>
      <c r="Z77" s="73">
        <f t="shared" si="19"/>
        <v>15255.000000000002</v>
      </c>
      <c r="AA77" s="74">
        <f t="shared" si="20"/>
        <v>3244794.4212804427</v>
      </c>
      <c r="AB77" s="73">
        <f t="shared" si="21"/>
        <v>174952353.54853418</v>
      </c>
      <c r="AC77" s="10">
        <f t="shared" si="22"/>
        <v>19308333.487560719</v>
      </c>
      <c r="AD77" s="10">
        <f>SUM($AC$28:AC77)</f>
        <v>149143813.49086189</v>
      </c>
      <c r="AE77" s="73">
        <f t="shared" si="6"/>
        <v>174952.35354853419</v>
      </c>
      <c r="AF77" s="73">
        <f t="shared" si="7"/>
        <v>0</v>
      </c>
      <c r="AG77" s="74">
        <f t="shared" si="8"/>
        <v>62640401.666161992</v>
      </c>
      <c r="AH77" s="10">
        <f t="shared" si="23"/>
        <v>112136999.52882367</v>
      </c>
      <c r="AO77" s="92"/>
      <c r="AP77" s="10"/>
      <c r="AQ77" s="73" t="str">
        <f t="shared" si="26"/>
        <v/>
      </c>
      <c r="AR77" s="80" t="str" cm="1">
        <f t="array" ref="AR77">IFERROR(INDEX($AQ$28:$AQ$78,_xlfn.AGGREGATE(15,3,ROW($AQ$28:$AQ$78)-ROW($AN$27)/($AQ$28:$AQ$78&lt;&gt;""),ROWS($AN$28:AN77))),"")</f>
        <v/>
      </c>
      <c r="AS77" s="73"/>
      <c r="AT77" s="73" t="str">
        <f t="shared" si="9"/>
        <v/>
      </c>
      <c r="AU77" s="85" t="str" cm="1">
        <f t="array" ref="AU77">IFERROR(INDEX($AT$28:$AT$78,_xlfn.AGGREGATE(15,3,ROW($AT$28:$AT$78)-ROW($AN$27)/($AT$28:$AT$78&lt;&gt;""),ROWS($AN$28:AN77))),"")</f>
        <v/>
      </c>
      <c r="AV77" s="10"/>
      <c r="AW77" s="10" t="str">
        <f t="shared" si="27"/>
        <v/>
      </c>
      <c r="AX77" s="90" t="str" cm="1">
        <f t="array" ref="AX77">IFERROR(INDEX($AW$28:$AW$78,_xlfn.AGGREGATE(15,3,ROW($AW$28:$AW$78)-ROW($AN$27)/($AW$28:$AW$78&lt;&gt;""),ROWS($AN$28:AN77))),"")</f>
        <v/>
      </c>
      <c r="AY77" s="10"/>
      <c r="AZ77" s="10" t="str">
        <f t="shared" si="10"/>
        <v/>
      </c>
      <c r="BA77" s="10" t="str" cm="1">
        <f t="array" ref="BA77">IFERROR(INDEX($AZ$28:$AZ$78,_xlfn.AGGREGATE(15,3,ROW($AZ$28:$AZ$78)-ROW($AN$27)/($AW$28:$AW$78&lt;&gt;""),ROWS($AN$28:AN77))),"")</f>
        <v/>
      </c>
      <c r="BB77" s="10"/>
      <c r="BC77" s="33"/>
    </row>
    <row r="78" spans="7:55">
      <c r="G78">
        <v>51</v>
      </c>
      <c r="H78" s="10">
        <f t="shared" si="28"/>
        <v>0</v>
      </c>
      <c r="I78" s="10">
        <f>SUM($H$28:H78)+M78</f>
        <v>4003179.9527931763</v>
      </c>
      <c r="J78" s="10">
        <f t="shared" si="11"/>
        <v>0</v>
      </c>
      <c r="K78" s="10">
        <f t="shared" si="16"/>
        <v>150934857.98630768</v>
      </c>
      <c r="L78" s="10">
        <f t="shared" si="24"/>
        <v>173424151.82626754</v>
      </c>
      <c r="M78" s="10">
        <f t="shared" si="25"/>
        <v>3823179.9527931763</v>
      </c>
      <c r="N78" s="10">
        <f t="shared" si="12"/>
        <v>169600971.87347436</v>
      </c>
      <c r="O78" s="7">
        <f t="shared" si="4"/>
        <v>1017605.8312408461</v>
      </c>
      <c r="P78" s="10">
        <f t="shared" si="5"/>
        <v>168583366.04223353</v>
      </c>
      <c r="U78">
        <v>51</v>
      </c>
      <c r="V78" s="10">
        <f t="shared" si="13"/>
        <v>3823179.9527931763</v>
      </c>
      <c r="W78" s="10">
        <f t="shared" si="14"/>
        <v>3823179.9527931763</v>
      </c>
      <c r="X78" s="10">
        <f t="shared" si="17"/>
        <v>178775533.50132737</v>
      </c>
      <c r="Y78" s="73">
        <f t="shared" si="18"/>
        <v>8938776.6750663687</v>
      </c>
      <c r="Z78" s="73">
        <f t="shared" si="19"/>
        <v>15255.000000000002</v>
      </c>
      <c r="AA78" s="74">
        <f t="shared" si="20"/>
        <v>3730556.2035278748</v>
      </c>
      <c r="AB78" s="73">
        <f t="shared" si="21"/>
        <v>200952174.65549195</v>
      </c>
      <c r="AC78" s="10">
        <f t="shared" si="22"/>
        <v>22176641.154164582</v>
      </c>
      <c r="AD78" s="10">
        <f>SUM($AC$28:AC78)</f>
        <v>171320454.64502648</v>
      </c>
      <c r="AE78" s="73">
        <f t="shared" si="6"/>
        <v>200952.17465549195</v>
      </c>
      <c r="AF78" s="73">
        <f t="shared" si="7"/>
        <v>0</v>
      </c>
      <c r="AG78" s="74">
        <f t="shared" si="8"/>
        <v>71954590.95091112</v>
      </c>
      <c r="AH78" s="10">
        <f t="shared" si="23"/>
        <v>128796631.52992533</v>
      </c>
      <c r="AO78" s="10"/>
      <c r="AP78" s="10"/>
      <c r="AQ78" s="73" t="str">
        <f t="shared" si="26"/>
        <v/>
      </c>
      <c r="AR78" s="73" t="str" cm="1">
        <f t="array" ref="AR78">IFERROR(INDEX($AQ$28:$AQ$78,_xlfn.AGGREGATE(15,3,ROW($AQ$28:$AQ$78)-ROW($AN$27)/($AQ$28:$AQ$78&lt;&gt;""),ROWS($AN$28:AN78))),"")</f>
        <v/>
      </c>
      <c r="AS78" s="73"/>
      <c r="AT78" s="73"/>
      <c r="AU78" s="73"/>
      <c r="AV78" s="10"/>
      <c r="AW78" s="10" t="str">
        <f t="shared" si="27"/>
        <v/>
      </c>
      <c r="AX78" s="10" t="str" cm="1">
        <f t="array" ref="AX78">IFERROR(INDEX($AW$28:$AW$78,_xlfn.AGGREGATE(15,3,ROW($AW$28:$AW$78)-ROW($AN$27)/($AW$28:$AW$78&lt;&gt;""),ROWS($AN$28:AN78))),"")</f>
        <v/>
      </c>
      <c r="AY78" s="10"/>
      <c r="AZ78" s="10" t="str">
        <f>IF(AND(ISBLANK(AY78),ISBLANK(AY77)),"",IF(ISBLANK(AY78),$B$33,AY78))</f>
        <v/>
      </c>
      <c r="BA78" s="10" t="str" cm="1">
        <f t="array" ref="BA78">IFERROR(INDEX($AZ$28:$AZ$78,_xlfn.AGGREGATE(15,3,ROW($AZ$28:$AZ$78)-ROW($AN$27)/($AW$28:$AW$78&lt;&gt;""),ROWS($AN$28:AN78))),"")</f>
        <v/>
      </c>
      <c r="BB78" s="10"/>
      <c r="BC78" s="33"/>
    </row>
    <row r="79" spans="7:55">
      <c r="AY79" s="12"/>
      <c r="BC79" s="10"/>
    </row>
    <row r="80" spans="7:55">
      <c r="AY80" s="12"/>
      <c r="BC80" s="10"/>
    </row>
    <row r="81" spans="2:55">
      <c r="AY81" s="12"/>
      <c r="BC81" s="10"/>
    </row>
    <row r="82" spans="2:55" ht="15.75" thickBot="1">
      <c r="BC82" s="10"/>
    </row>
    <row r="83" spans="2:55" ht="26.25" customHeight="1">
      <c r="G83" s="104" t="s">
        <v>87</v>
      </c>
      <c r="H83" s="105"/>
      <c r="I83" s="106"/>
      <c r="J83" s="15"/>
      <c r="K83" s="10"/>
      <c r="L83" s="10"/>
      <c r="M83" s="10"/>
      <c r="N83" s="10"/>
      <c r="O83" s="10"/>
      <c r="P83" s="10"/>
      <c r="U83" s="104" t="s">
        <v>88</v>
      </c>
      <c r="V83" s="105"/>
      <c r="W83" s="106"/>
      <c r="BC83" s="10"/>
    </row>
    <row r="84" spans="2:55">
      <c r="G84" s="107"/>
      <c r="H84" s="108"/>
      <c r="I84" s="109"/>
      <c r="K84" s="7"/>
      <c r="L84" s="7"/>
      <c r="M84" s="7"/>
      <c r="N84" s="7"/>
      <c r="O84" s="7"/>
      <c r="P84" s="7"/>
      <c r="U84" s="107"/>
      <c r="V84" s="108"/>
      <c r="W84" s="109"/>
      <c r="BC84" s="10"/>
    </row>
    <row r="85" spans="2:55" ht="15.75" thickBot="1">
      <c r="G85" s="110"/>
      <c r="H85" s="111"/>
      <c r="I85" s="112"/>
      <c r="U85" s="110"/>
      <c r="V85" s="111"/>
      <c r="W85" s="112"/>
      <c r="Y85" s="9"/>
      <c r="Z85" s="9"/>
      <c r="BC85" s="10"/>
    </row>
    <row r="86" spans="2:55" ht="15.75">
      <c r="G86" s="5" t="s">
        <v>25</v>
      </c>
      <c r="H86" s="116">
        <f>$E$29</f>
        <v>0</v>
      </c>
      <c r="I86" s="117"/>
      <c r="J86" s="7"/>
      <c r="K86" s="7"/>
      <c r="L86" s="7"/>
      <c r="M86" s="7"/>
      <c r="N86" s="7"/>
      <c r="O86" s="7"/>
      <c r="P86" s="7"/>
      <c r="U86" s="5" t="s">
        <v>25</v>
      </c>
      <c r="V86" s="116">
        <f>$E$29</f>
        <v>0</v>
      </c>
      <c r="W86" s="117"/>
      <c r="Z86" s="9"/>
      <c r="BC86" s="10"/>
    </row>
    <row r="87" spans="2:55" ht="15.75">
      <c r="G87" s="1" t="s">
        <v>27</v>
      </c>
      <c r="H87" s="118">
        <f>$E$30</f>
        <v>7500</v>
      </c>
      <c r="I87" s="119"/>
      <c r="J87" s="7"/>
      <c r="U87" s="1" t="s">
        <v>27</v>
      </c>
      <c r="V87" s="118">
        <f>$E$30</f>
        <v>7500</v>
      </c>
      <c r="W87" s="119"/>
      <c r="X87" s="7"/>
      <c r="Y87" s="24"/>
      <c r="Z87" s="24"/>
      <c r="BC87" s="10"/>
    </row>
    <row r="88" spans="2:55" ht="16.5" customHeight="1">
      <c r="G88" s="2" t="s">
        <v>32</v>
      </c>
      <c r="H88" s="120">
        <f>$B$17</f>
        <v>0.15</v>
      </c>
      <c r="I88" s="121"/>
      <c r="J88" s="7"/>
      <c r="U88" s="2" t="s">
        <v>32</v>
      </c>
      <c r="V88" s="120">
        <f>$D$17</f>
        <v>0.1</v>
      </c>
      <c r="W88" s="121"/>
      <c r="Y88" s="7"/>
      <c r="AW88" s="10"/>
      <c r="AX88" s="10"/>
      <c r="AY88" s="10"/>
      <c r="AZ88" s="10"/>
      <c r="BA88" s="10"/>
    </row>
    <row r="89" spans="2:55" ht="19.5" customHeight="1">
      <c r="G89" s="2" t="s">
        <v>34</v>
      </c>
      <c r="H89" s="120">
        <f>$B$16</f>
        <v>0</v>
      </c>
      <c r="I89" s="121"/>
      <c r="J89" s="7"/>
      <c r="K89" s="20"/>
      <c r="L89" s="20"/>
      <c r="M89" s="20"/>
      <c r="N89" s="20"/>
      <c r="O89" s="20"/>
      <c r="P89" s="20"/>
      <c r="U89" s="2" t="s">
        <v>34</v>
      </c>
      <c r="V89" s="120">
        <f>$D$16</f>
        <v>0.05</v>
      </c>
      <c r="W89" s="121"/>
      <c r="AW89" s="10"/>
      <c r="AX89" s="10"/>
      <c r="AY89" s="10"/>
      <c r="AZ89" s="10"/>
      <c r="BA89" s="10"/>
    </row>
    <row r="90" spans="2:55" ht="15.75">
      <c r="G90" s="3" t="s">
        <v>36</v>
      </c>
      <c r="H90" s="6">
        <f>D22</f>
        <v>1.5E-3</v>
      </c>
      <c r="I90" s="11">
        <f>E22</f>
        <v>90</v>
      </c>
      <c r="U90" s="3" t="s">
        <v>36</v>
      </c>
      <c r="V90" s="6">
        <f>$B$21</f>
        <v>1E-3</v>
      </c>
      <c r="W90" s="11">
        <f>$C$21</f>
        <v>20</v>
      </c>
      <c r="Y90" s="24"/>
      <c r="Z90" s="24"/>
      <c r="AA90" s="24"/>
      <c r="AW90" s="10"/>
      <c r="AX90" s="10"/>
      <c r="AY90" s="10"/>
      <c r="AZ90" s="10"/>
      <c r="BA90" s="10"/>
    </row>
    <row r="91" spans="2:55" ht="20.25" customHeight="1">
      <c r="G91" s="3" t="s">
        <v>37</v>
      </c>
      <c r="H91" s="6">
        <f>D22</f>
        <v>1.5E-3</v>
      </c>
      <c r="I91" s="11">
        <f>E22</f>
        <v>90</v>
      </c>
      <c r="U91" s="3" t="s">
        <v>37</v>
      </c>
      <c r="V91" s="6">
        <f>$B$21</f>
        <v>1E-3</v>
      </c>
      <c r="W91" s="11">
        <f>$C$21</f>
        <v>20</v>
      </c>
      <c r="Y91" s="24"/>
      <c r="Z91" s="24"/>
      <c r="AA91" s="24"/>
      <c r="AW91" s="10"/>
      <c r="AX91" s="10"/>
      <c r="AY91" s="10"/>
      <c r="AZ91" s="10"/>
    </row>
    <row r="92" spans="2:55" ht="20.25" customHeight="1">
      <c r="G92" s="3" t="s">
        <v>41</v>
      </c>
      <c r="H92" s="127">
        <f>$D$25</f>
        <v>2.5000000000000001E-3</v>
      </c>
      <c r="I92" s="128"/>
      <c r="J92" s="10"/>
      <c r="U92" s="3" t="s">
        <v>41</v>
      </c>
      <c r="V92" s="127">
        <f>$B$25</f>
        <v>5.0000000000000001E-3</v>
      </c>
      <c r="W92" s="128"/>
      <c r="X92" s="7"/>
      <c r="Y92" s="24"/>
      <c r="Z92" s="24"/>
      <c r="AA92" s="24"/>
      <c r="AW92" s="10"/>
      <c r="AX92" s="10"/>
      <c r="AY92" s="10"/>
      <c r="AZ92" s="10"/>
    </row>
    <row r="93" spans="2:55" ht="18.75" customHeight="1">
      <c r="G93" s="3" t="s">
        <v>43</v>
      </c>
      <c r="H93" s="6">
        <f>$D$25</f>
        <v>2.5000000000000001E-3</v>
      </c>
      <c r="I93" s="13" t="s">
        <v>44</v>
      </c>
      <c r="J93" s="10"/>
      <c r="U93" s="3" t="s">
        <v>43</v>
      </c>
      <c r="V93" s="6">
        <f>$B$25</f>
        <v>5.0000000000000001E-3</v>
      </c>
      <c r="W93" s="13" t="s">
        <v>44</v>
      </c>
      <c r="X93" s="7"/>
      <c r="Y93" s="7"/>
    </row>
    <row r="94" spans="2:55" ht="15.75">
      <c r="G94" s="3" t="s">
        <v>46</v>
      </c>
      <c r="H94" s="6">
        <f>$B$10</f>
        <v>1E-3</v>
      </c>
      <c r="I94" s="16">
        <f>(IF($H$87= 0, 0, MAX($I$90,$H$87*$H$90) +$H$87*$H$92))</f>
        <v>108.75</v>
      </c>
      <c r="U94" s="3" t="s">
        <v>46</v>
      </c>
      <c r="V94" s="6">
        <v>0</v>
      </c>
      <c r="W94" s="16">
        <f>(IF($V$87= 0, 0, MAX($W$90,$V$87*$V$90) +$V$87*$V$92))</f>
        <v>57.5</v>
      </c>
      <c r="X94" s="7"/>
      <c r="Y94" s="7"/>
    </row>
    <row r="95" spans="2:55" ht="15.75">
      <c r="B95" s="93"/>
      <c r="G95" s="4" t="s">
        <v>48</v>
      </c>
      <c r="H95" s="17" t="s">
        <v>49</v>
      </c>
      <c r="I95" s="18" t="s">
        <v>50</v>
      </c>
      <c r="K95" s="7"/>
      <c r="L95" s="7"/>
      <c r="M95" s="7"/>
      <c r="N95" s="7"/>
      <c r="O95" s="7"/>
      <c r="P95" s="7"/>
      <c r="U95" s="4" t="s">
        <v>48</v>
      </c>
      <c r="V95" s="14" t="s">
        <v>51</v>
      </c>
      <c r="W95" s="18" t="s">
        <v>50</v>
      </c>
      <c r="X95" s="10"/>
      <c r="Y95" s="10"/>
    </row>
    <row r="96" spans="2:55" ht="15.75">
      <c r="G96" s="4" t="s">
        <v>52</v>
      </c>
      <c r="H96" s="14">
        <f>$B$12</f>
        <v>0.17</v>
      </c>
      <c r="I96" s="19">
        <f>(IF($H$86= 0, 0, MAX($I$90,$H$86*$H$90) +$H$86*$H$92))</f>
        <v>0</v>
      </c>
      <c r="K96" s="7"/>
      <c r="L96" s="7"/>
      <c r="M96" s="7"/>
      <c r="N96" s="7"/>
      <c r="O96" s="7"/>
      <c r="P96" s="7"/>
      <c r="U96" s="4" t="s">
        <v>52</v>
      </c>
      <c r="V96" s="14">
        <f>$D$12</f>
        <v>0.27</v>
      </c>
      <c r="W96" s="19">
        <f>(IF($V$86= 0, 0, MAX($W$90,$V$86*$V$90) +$V$86*$V$92))</f>
        <v>0</v>
      </c>
    </row>
    <row r="97" spans="7:34" ht="15.75">
      <c r="G97" s="4" t="s">
        <v>54</v>
      </c>
      <c r="H97" s="125">
        <f>$B$13</f>
        <v>0.17</v>
      </c>
      <c r="I97" s="126"/>
      <c r="K97" s="7"/>
      <c r="L97" s="7"/>
      <c r="M97" s="7"/>
      <c r="N97" s="7"/>
      <c r="O97" s="7"/>
      <c r="P97" s="7"/>
      <c r="U97" s="4" t="s">
        <v>54</v>
      </c>
      <c r="V97" s="125">
        <f>$D$13</f>
        <v>0.42</v>
      </c>
      <c r="W97" s="126"/>
    </row>
    <row r="98" spans="7:34" ht="15.75">
      <c r="G98" s="4" t="s">
        <v>56</v>
      </c>
      <c r="H98" s="122">
        <f>$B$14</f>
        <v>105600</v>
      </c>
      <c r="I98" s="123"/>
      <c r="U98" s="4" t="s">
        <v>57</v>
      </c>
      <c r="V98" s="122">
        <f>$D$14</f>
        <v>56500</v>
      </c>
      <c r="W98" s="123"/>
    </row>
    <row r="99" spans="7:34" ht="23.25">
      <c r="X99" s="25"/>
      <c r="Y99" s="25"/>
      <c r="Z99" s="25"/>
      <c r="AE99" s="124" t="s">
        <v>59</v>
      </c>
      <c r="AF99" s="124"/>
      <c r="AG99" s="124"/>
      <c r="AH99" s="124"/>
    </row>
    <row r="100" spans="7:34" ht="23.25">
      <c r="G100" s="8" t="s">
        <v>60</v>
      </c>
      <c r="H100" s="8" t="s">
        <v>61</v>
      </c>
      <c r="I100" s="8" t="s">
        <v>62</v>
      </c>
      <c r="J100" s="8" t="s">
        <v>63</v>
      </c>
      <c r="K100" s="8" t="s">
        <v>64</v>
      </c>
      <c r="L100" s="8" t="s">
        <v>65</v>
      </c>
      <c r="M100" s="8" t="s">
        <v>66</v>
      </c>
      <c r="N100" s="8" t="s">
        <v>67</v>
      </c>
      <c r="O100" s="8" t="s">
        <v>68</v>
      </c>
      <c r="P100" s="8" t="s">
        <v>69</v>
      </c>
      <c r="U100" s="8" t="s">
        <v>60</v>
      </c>
      <c r="V100" s="8" t="s">
        <v>61</v>
      </c>
      <c r="W100" s="8" t="s">
        <v>63</v>
      </c>
      <c r="X100" s="8" t="s">
        <v>64</v>
      </c>
      <c r="Y100" s="8" t="s">
        <v>70</v>
      </c>
      <c r="Z100" s="8" t="s">
        <v>71</v>
      </c>
      <c r="AA100" s="8" t="s">
        <v>72</v>
      </c>
      <c r="AB100" s="8" t="s">
        <v>73</v>
      </c>
      <c r="AC100" s="8" t="s">
        <v>74</v>
      </c>
      <c r="AD100" s="8" t="s">
        <v>75</v>
      </c>
      <c r="AE100" s="8" t="s">
        <v>68</v>
      </c>
      <c r="AF100" s="8" t="s">
        <v>76</v>
      </c>
      <c r="AG100" s="8" t="s">
        <v>77</v>
      </c>
      <c r="AH100" s="8" t="s">
        <v>78</v>
      </c>
    </row>
    <row r="101" spans="7:34">
      <c r="G101">
        <v>1</v>
      </c>
      <c r="H101" s="10">
        <f>$H$86</f>
        <v>0</v>
      </c>
      <c r="I101" s="10">
        <f>SUM($H$101:H101)+M101</f>
        <v>0</v>
      </c>
      <c r="J101" s="10">
        <f>H101-IF(H101=0,0,$I$96)</f>
        <v>0</v>
      </c>
      <c r="K101" s="10">
        <f>J101</f>
        <v>0</v>
      </c>
      <c r="L101" s="10">
        <f>(K101*($H$88-$H$94+1)^($G$101))</f>
        <v>0</v>
      </c>
      <c r="M101" s="10">
        <f>(L101-K101)*$H$96</f>
        <v>0</v>
      </c>
      <c r="N101" s="10">
        <f>L101-M101</f>
        <v>0</v>
      </c>
      <c r="O101" s="7">
        <f>MAX($I$91,$H$91*N101)+N101*$H$93</f>
        <v>90</v>
      </c>
      <c r="P101" s="10">
        <f>N101-O101</f>
        <v>-90</v>
      </c>
      <c r="U101">
        <v>1</v>
      </c>
      <c r="V101" s="10">
        <f>H101+M28</f>
        <v>0</v>
      </c>
      <c r="W101" s="10">
        <f>V101-IF(V101=0,0,$W$96)</f>
        <v>0</v>
      </c>
      <c r="X101" s="10">
        <f>$W$101</f>
        <v>0</v>
      </c>
      <c r="Y101" s="73">
        <f>X101*$V$89</f>
        <v>0</v>
      </c>
      <c r="Z101" s="73">
        <f>IF(Y101&gt;=$V$98,$V$98*$V$96,Y101*$V$96)</f>
        <v>0</v>
      </c>
      <c r="AA101" s="74">
        <f>IF(Y101&gt;=$V$98,(Y101-$V$98)*$V$97,0)</f>
        <v>0</v>
      </c>
      <c r="AB101" s="73">
        <f>(X101*($V$88-$V$94+1)^($U$101)) + (Y101-Z101-AA101)</f>
        <v>0</v>
      </c>
      <c r="AC101" s="10">
        <f>AB101-X101</f>
        <v>0</v>
      </c>
      <c r="AD101" s="10">
        <f>SUM($AC$101:AC101)</f>
        <v>0</v>
      </c>
      <c r="AE101" s="73">
        <f>MAX($W$91,$V$91*AB101)+AB101*$V$93</f>
        <v>20</v>
      </c>
      <c r="AF101" s="73">
        <f>IF(Y101+AD101&gt;=$V$98,MAX($V$98-Y101,0)*$V$96,AD101*$V$96)</f>
        <v>0</v>
      </c>
      <c r="AG101" s="74">
        <f>IF(Y101+AD101&gt;=$V$98,(AD101-MAX($V$98-Y101, 0))*$V$97,0)</f>
        <v>0</v>
      </c>
      <c r="AH101" s="10">
        <f>AB101-AE101-AF101-AG101</f>
        <v>-20</v>
      </c>
    </row>
    <row r="102" spans="7:34">
      <c r="G102">
        <v>2</v>
      </c>
      <c r="H102" s="10">
        <f>12*$H$87</f>
        <v>90000</v>
      </c>
      <c r="I102" s="10">
        <f>SUM($H$101:H102)+M102</f>
        <v>92246.644350000002</v>
      </c>
      <c r="J102" s="10">
        <f>H102-IF(H102=0,0,$I$94*12)</f>
        <v>88695</v>
      </c>
      <c r="K102" s="10">
        <f>L101+J102</f>
        <v>88695</v>
      </c>
      <c r="L102" s="10">
        <f t="shared" ref="L102:L151" si="29">(K102*($H$88-$H$94+1)^($G$101))</f>
        <v>101910.55500000001</v>
      </c>
      <c r="M102" s="10">
        <f t="shared" ref="M102:M151" si="30">(L102-K102)*$H$96</f>
        <v>2246.6443500000014</v>
      </c>
      <c r="N102" s="10">
        <f>L102-M102</f>
        <v>99663.910650000005</v>
      </c>
      <c r="O102" s="7">
        <f t="shared" ref="O102:O151" si="31">MAX($I$91,$H$91*N102)+N102*$H$93</f>
        <v>398.65564260000002</v>
      </c>
      <c r="P102" s="10">
        <f t="shared" ref="P102:P151" si="32">N102-O102</f>
        <v>99265.255007400003</v>
      </c>
      <c r="U102">
        <v>2</v>
      </c>
      <c r="V102" s="10">
        <f t="shared" ref="V102:V151" si="33">H102+M29</f>
        <v>92263.742100000003</v>
      </c>
      <c r="W102" s="10">
        <f>V102-IF(V102=0,0,$W$94*12)</f>
        <v>91573.742100000003</v>
      </c>
      <c r="X102" s="10">
        <f>AB101+W102</f>
        <v>91573.742100000003</v>
      </c>
      <c r="Y102" s="73">
        <f t="shared" ref="Y102:Y151" si="34">X102*$V$89</f>
        <v>4578.687105</v>
      </c>
      <c r="Z102" s="73">
        <f t="shared" ref="Z102:Z151" si="35">IF(Y102&gt;=$V$98,$V$98*$V$96,Y102*$V$96)</f>
        <v>1236.2455183500001</v>
      </c>
      <c r="AA102" s="74">
        <f t="shared" ref="AA102:AA151" si="36">IF(Y102&gt;=$V$98,(Y102-$V$98)*$V$97,0)</f>
        <v>0</v>
      </c>
      <c r="AB102" s="73">
        <f t="shared" ref="AB102:AB151" si="37">(X102*($V$88-$V$94+1)^($U$101)) + (Y102-Z102-AA102)</f>
        <v>104073.55789665002</v>
      </c>
      <c r="AC102" s="10">
        <f>AB102-X102</f>
        <v>12499.815796650015</v>
      </c>
      <c r="AD102" s="10">
        <f>SUM($AC$101:AC102)</f>
        <v>12499.815796650015</v>
      </c>
      <c r="AE102" s="73">
        <f t="shared" ref="AE102:AE151" si="38">MAX($W$91,$V$91*AB102)+AB102*$V$93</f>
        <v>624.44134737990021</v>
      </c>
      <c r="AF102" s="73">
        <f t="shared" ref="AF102:AF151" si="39">IF(Y102+AD102&gt;=$V$98,MAX($V$98-Y102,0)*$V$96,AD102*$V$96)</f>
        <v>3374.9502650955042</v>
      </c>
      <c r="AG102" s="74">
        <f t="shared" ref="AG102:AG151" si="40">IF(Y102+AD102&gt;=$V$98,(AD102-MAX($V$98-Y102, 0))*$V$97,0)</f>
        <v>0</v>
      </c>
      <c r="AH102" s="10">
        <f>AB102-AE102-AF102-AG102</f>
        <v>100074.1662841746</v>
      </c>
    </row>
    <row r="103" spans="7:34">
      <c r="G103">
        <v>3</v>
      </c>
      <c r="H103" s="10">
        <f>IF(N102&gt;$H$98,0,12*$H$87)</f>
        <v>90000</v>
      </c>
      <c r="I103" s="10">
        <f>SUM($H$101:H103)+M103</f>
        <v>184828.03870815001</v>
      </c>
      <c r="J103" s="10">
        <f t="shared" ref="J103:J151" si="41">H103-IF(H103=0,0,$I$94*12)</f>
        <v>88695</v>
      </c>
      <c r="K103" s="10">
        <f t="shared" ref="K103:K151" si="42">L102+J103</f>
        <v>190605.55499999999</v>
      </c>
      <c r="L103" s="10">
        <f t="shared" si="29"/>
        <v>219005.782695</v>
      </c>
      <c r="M103" s="10">
        <f t="shared" si="30"/>
        <v>4828.0387081500021</v>
      </c>
      <c r="N103" s="10">
        <f t="shared" ref="N103:N151" si="43">L103-M103</f>
        <v>214177.74398684999</v>
      </c>
      <c r="O103" s="7">
        <f t="shared" si="31"/>
        <v>856.71097594740002</v>
      </c>
      <c r="P103" s="10">
        <f t="shared" si="32"/>
        <v>213321.03301090258</v>
      </c>
      <c r="U103">
        <v>3</v>
      </c>
      <c r="V103" s="10">
        <f t="shared" si="33"/>
        <v>94864.781772899994</v>
      </c>
      <c r="W103" s="10">
        <f t="shared" ref="W103:W151" si="44">V103-IF(V103=0,0,$W$94*12)</f>
        <v>94174.781772899994</v>
      </c>
      <c r="X103" s="10">
        <f>AB102+W103</f>
        <v>198248.33966955001</v>
      </c>
      <c r="Y103" s="73">
        <f t="shared" si="34"/>
        <v>9912.4169834775021</v>
      </c>
      <c r="Z103" s="73">
        <f t="shared" si="35"/>
        <v>2676.3525855389257</v>
      </c>
      <c r="AA103" s="74">
        <f t="shared" si="36"/>
        <v>0</v>
      </c>
      <c r="AB103" s="73">
        <f t="shared" si="37"/>
        <v>225309.23803444361</v>
      </c>
      <c r="AC103" s="10">
        <f>AB103-X103</f>
        <v>27060.898364893597</v>
      </c>
      <c r="AD103" s="10">
        <f>SUM($AC$101:AC103)</f>
        <v>39560.714161543612</v>
      </c>
      <c r="AE103" s="73">
        <f t="shared" si="38"/>
        <v>1351.8554282066616</v>
      </c>
      <c r="AF103" s="73">
        <f t="shared" si="39"/>
        <v>10681.392823616776</v>
      </c>
      <c r="AG103" s="74">
        <f t="shared" si="40"/>
        <v>0</v>
      </c>
      <c r="AH103" s="10">
        <f>AB103-AE103-AF103-AG103</f>
        <v>213275.98978262019</v>
      </c>
    </row>
    <row r="104" spans="7:34">
      <c r="G104">
        <v>4</v>
      </c>
      <c r="H104" s="10">
        <f t="shared" ref="H104:H151" si="45">IF(N103&gt;$H$98,0,12*$H$87)</f>
        <v>0</v>
      </c>
      <c r="I104" s="10">
        <f>SUM($H$101:H104)+M104</f>
        <v>185547.41647566436</v>
      </c>
      <c r="J104" s="10">
        <f t="shared" si="41"/>
        <v>0</v>
      </c>
      <c r="K104" s="10">
        <f t="shared" si="42"/>
        <v>219005.782695</v>
      </c>
      <c r="L104" s="10">
        <f t="shared" si="29"/>
        <v>251637.644316555</v>
      </c>
      <c r="M104" s="10">
        <f t="shared" si="30"/>
        <v>5547.4164756643504</v>
      </c>
      <c r="N104" s="10">
        <f t="shared" si="43"/>
        <v>246090.22784089064</v>
      </c>
      <c r="O104" s="7">
        <f t="shared" si="31"/>
        <v>984.36091136356254</v>
      </c>
      <c r="P104" s="10">
        <f t="shared" si="32"/>
        <v>245105.86692952708</v>
      </c>
      <c r="U104">
        <v>4</v>
      </c>
      <c r="V104" s="10">
        <f t="shared" si="33"/>
        <v>5589.6342570621018</v>
      </c>
      <c r="W104" s="10">
        <f t="shared" si="44"/>
        <v>4899.6342570621018</v>
      </c>
      <c r="X104" s="10">
        <f t="shared" ref="X104:X151" si="46">AB103+W104</f>
        <v>230208.87229150572</v>
      </c>
      <c r="Y104" s="73">
        <f t="shared" si="34"/>
        <v>11510.443614575286</v>
      </c>
      <c r="Z104" s="73">
        <f t="shared" si="35"/>
        <v>3107.8197759353275</v>
      </c>
      <c r="AA104" s="74">
        <f t="shared" si="36"/>
        <v>0</v>
      </c>
      <c r="AB104" s="73">
        <f t="shared" si="37"/>
        <v>261632.38335929628</v>
      </c>
      <c r="AC104" s="10">
        <f t="shared" ref="AC104:AC151" si="47">AB104-X104</f>
        <v>31423.511067790561</v>
      </c>
      <c r="AD104" s="10">
        <f>SUM($AC$101:AC104)</f>
        <v>70984.225229334173</v>
      </c>
      <c r="AE104" s="73">
        <f t="shared" si="38"/>
        <v>1569.7943001557776</v>
      </c>
      <c r="AF104" s="73">
        <f t="shared" si="39"/>
        <v>12147.180224064674</v>
      </c>
      <c r="AG104" s="74">
        <f t="shared" si="40"/>
        <v>10917.760914441971</v>
      </c>
      <c r="AH104" s="10">
        <f t="shared" ref="AH104:AH151" si="48">AB104-AE104-AF104-AG104</f>
        <v>236997.64792063384</v>
      </c>
    </row>
    <row r="105" spans="7:34">
      <c r="G105">
        <v>5</v>
      </c>
      <c r="H105" s="10">
        <f t="shared" si="45"/>
        <v>0</v>
      </c>
      <c r="I105" s="10">
        <f>SUM($H$101:H105)+M105</f>
        <v>186373.98153053835</v>
      </c>
      <c r="J105" s="10">
        <f t="shared" si="41"/>
        <v>0</v>
      </c>
      <c r="K105" s="10">
        <f t="shared" si="42"/>
        <v>251637.644316555</v>
      </c>
      <c r="L105" s="10">
        <f t="shared" si="29"/>
        <v>289131.65331972169</v>
      </c>
      <c r="M105" s="10">
        <f t="shared" si="30"/>
        <v>6373.9815305383381</v>
      </c>
      <c r="N105" s="10">
        <f t="shared" si="43"/>
        <v>282757.67178918334</v>
      </c>
      <c r="O105" s="7">
        <f t="shared" si="31"/>
        <v>1131.0306871567334</v>
      </c>
      <c r="P105" s="10">
        <f t="shared" si="32"/>
        <v>281626.64110202662</v>
      </c>
      <c r="U105">
        <v>5</v>
      </c>
      <c r="V105" s="10">
        <f t="shared" si="33"/>
        <v>6422.4897613643507</v>
      </c>
      <c r="W105" s="10">
        <f t="shared" si="44"/>
        <v>5732.4897613643507</v>
      </c>
      <c r="X105" s="10">
        <f t="shared" si="46"/>
        <v>267364.8731206606</v>
      </c>
      <c r="Y105" s="73">
        <f t="shared" si="34"/>
        <v>13368.243656033032</v>
      </c>
      <c r="Z105" s="73">
        <f t="shared" si="35"/>
        <v>3609.4257871289187</v>
      </c>
      <c r="AA105" s="74">
        <f t="shared" si="36"/>
        <v>0</v>
      </c>
      <c r="AB105" s="73">
        <f t="shared" si="37"/>
        <v>303860.17830163077</v>
      </c>
      <c r="AC105" s="10">
        <f t="shared" si="47"/>
        <v>36495.305180970172</v>
      </c>
      <c r="AD105" s="10">
        <f>SUM($AC$101:AC105)</f>
        <v>107479.53041030435</v>
      </c>
      <c r="AE105" s="73">
        <f t="shared" si="38"/>
        <v>1823.1610698097847</v>
      </c>
      <c r="AF105" s="73">
        <f t="shared" si="39"/>
        <v>11645.574212871083</v>
      </c>
      <c r="AG105" s="74">
        <f t="shared" si="40"/>
        <v>27026.065107861697</v>
      </c>
      <c r="AH105" s="10">
        <f t="shared" si="48"/>
        <v>263365.37791108817</v>
      </c>
    </row>
    <row r="106" spans="7:34">
      <c r="G106">
        <v>6</v>
      </c>
      <c r="H106" s="10">
        <f t="shared" si="45"/>
        <v>0</v>
      </c>
      <c r="I106" s="10">
        <f>SUM($H$101:H106)+M106</f>
        <v>187323.70477858855</v>
      </c>
      <c r="J106" s="10">
        <f t="shared" si="41"/>
        <v>0</v>
      </c>
      <c r="K106" s="10">
        <f t="shared" si="42"/>
        <v>289131.65331972169</v>
      </c>
      <c r="L106" s="10">
        <f t="shared" si="29"/>
        <v>332212.26966436021</v>
      </c>
      <c r="M106" s="10">
        <f t="shared" si="30"/>
        <v>7323.7047785885488</v>
      </c>
      <c r="N106" s="10">
        <f t="shared" si="43"/>
        <v>324888.56488577166</v>
      </c>
      <c r="O106" s="7">
        <f t="shared" si="31"/>
        <v>1299.5542595430866</v>
      </c>
      <c r="P106" s="10">
        <f t="shared" si="32"/>
        <v>323589.01062622858</v>
      </c>
      <c r="U106">
        <v>6</v>
      </c>
      <c r="V106" s="10">
        <f t="shared" si="33"/>
        <v>7379.4407358076396</v>
      </c>
      <c r="W106" s="10">
        <f t="shared" si="44"/>
        <v>6689.4407358076396</v>
      </c>
      <c r="X106" s="10">
        <f t="shared" si="46"/>
        <v>310549.61903743842</v>
      </c>
      <c r="Y106" s="73">
        <f t="shared" si="34"/>
        <v>15527.480951871921</v>
      </c>
      <c r="Z106" s="73">
        <f t="shared" si="35"/>
        <v>4192.4198570054186</v>
      </c>
      <c r="AA106" s="74">
        <f t="shared" si="36"/>
        <v>0</v>
      </c>
      <c r="AB106" s="73">
        <f t="shared" si="37"/>
        <v>352939.64203604875</v>
      </c>
      <c r="AC106" s="10">
        <f t="shared" si="47"/>
        <v>42390.022998610337</v>
      </c>
      <c r="AD106" s="10">
        <f>SUM($AC$101:AC106)</f>
        <v>149869.55340891468</v>
      </c>
      <c r="AE106" s="73">
        <f t="shared" si="38"/>
        <v>2117.6378522162927</v>
      </c>
      <c r="AF106" s="73">
        <f t="shared" si="39"/>
        <v>11062.580142994582</v>
      </c>
      <c r="AG106" s="74">
        <f t="shared" si="40"/>
        <v>45736.754431530375</v>
      </c>
      <c r="AH106" s="10">
        <f t="shared" si="48"/>
        <v>294022.66960930749</v>
      </c>
    </row>
    <row r="107" spans="7:34">
      <c r="G107">
        <v>7</v>
      </c>
      <c r="H107" s="10">
        <f t="shared" si="45"/>
        <v>0</v>
      </c>
      <c r="I107" s="10">
        <f>SUM($H$101:H107)+M107</f>
        <v>188414.93679059824</v>
      </c>
      <c r="J107" s="10">
        <f t="shared" si="41"/>
        <v>0</v>
      </c>
      <c r="K107" s="10">
        <f t="shared" si="42"/>
        <v>332212.26966436021</v>
      </c>
      <c r="L107" s="10">
        <f t="shared" si="29"/>
        <v>381711.89784434991</v>
      </c>
      <c r="M107" s="10">
        <f t="shared" si="30"/>
        <v>8414.936790598249</v>
      </c>
      <c r="N107" s="10">
        <f t="shared" si="43"/>
        <v>373296.96105375164</v>
      </c>
      <c r="O107" s="7">
        <f t="shared" si="31"/>
        <v>1493.1878442150066</v>
      </c>
      <c r="P107" s="10">
        <f t="shared" si="32"/>
        <v>371803.77320953662</v>
      </c>
      <c r="U107">
        <v>7</v>
      </c>
      <c r="V107" s="10">
        <f t="shared" si="33"/>
        <v>8478.9774054429818</v>
      </c>
      <c r="W107" s="10">
        <f t="shared" si="44"/>
        <v>7788.9774054429818</v>
      </c>
      <c r="X107" s="10">
        <f t="shared" si="46"/>
        <v>360728.61944149173</v>
      </c>
      <c r="Y107" s="73">
        <f t="shared" si="34"/>
        <v>18036.430972074588</v>
      </c>
      <c r="Z107" s="73">
        <f t="shared" si="35"/>
        <v>4869.8363624601388</v>
      </c>
      <c r="AA107" s="74">
        <f t="shared" si="36"/>
        <v>0</v>
      </c>
      <c r="AB107" s="73">
        <f t="shared" si="37"/>
        <v>409968.07599525538</v>
      </c>
      <c r="AC107" s="10">
        <f t="shared" si="47"/>
        <v>49239.456553763652</v>
      </c>
      <c r="AD107" s="10">
        <f>SUM($AC$101:AC107)</f>
        <v>199109.00996267833</v>
      </c>
      <c r="AE107" s="73">
        <f t="shared" si="38"/>
        <v>2459.8084559715321</v>
      </c>
      <c r="AF107" s="73">
        <f t="shared" si="39"/>
        <v>10385.163637539861</v>
      </c>
      <c r="AG107" s="74">
        <f t="shared" si="40"/>
        <v>67471.085192596234</v>
      </c>
      <c r="AH107" s="10">
        <f t="shared" si="48"/>
        <v>329652.01870914776</v>
      </c>
    </row>
    <row r="108" spans="7:34">
      <c r="G108">
        <v>8</v>
      </c>
      <c r="H108" s="10">
        <f t="shared" si="45"/>
        <v>0</v>
      </c>
      <c r="I108" s="10">
        <f>SUM($H$101:H108)+M108</f>
        <v>189668.76237239738</v>
      </c>
      <c r="J108" s="10">
        <f t="shared" si="41"/>
        <v>0</v>
      </c>
      <c r="K108" s="10">
        <f t="shared" si="42"/>
        <v>381711.89784434991</v>
      </c>
      <c r="L108" s="10">
        <f t="shared" si="29"/>
        <v>438586.97062315803</v>
      </c>
      <c r="M108" s="10">
        <f t="shared" si="30"/>
        <v>9668.7623723973829</v>
      </c>
      <c r="N108" s="10">
        <f t="shared" si="43"/>
        <v>428918.20825076062</v>
      </c>
      <c r="O108" s="7">
        <f t="shared" si="31"/>
        <v>1715.6728330030426</v>
      </c>
      <c r="P108" s="10">
        <f t="shared" si="32"/>
        <v>427202.53541775758</v>
      </c>
      <c r="U108">
        <v>8</v>
      </c>
      <c r="V108" s="10">
        <f t="shared" si="33"/>
        <v>9742.3450388539877</v>
      </c>
      <c r="W108" s="10">
        <f t="shared" si="44"/>
        <v>9052.3450388539877</v>
      </c>
      <c r="X108" s="10">
        <f t="shared" si="46"/>
        <v>419020.42103410937</v>
      </c>
      <c r="Y108" s="73">
        <f t="shared" si="34"/>
        <v>20951.021051705469</v>
      </c>
      <c r="Z108" s="73">
        <f t="shared" si="35"/>
        <v>5656.7756839604772</v>
      </c>
      <c r="AA108" s="74">
        <f t="shared" si="36"/>
        <v>0</v>
      </c>
      <c r="AB108" s="73">
        <f t="shared" si="37"/>
        <v>476216.70850526536</v>
      </c>
      <c r="AC108" s="10">
        <f t="shared" si="47"/>
        <v>57196.287471155985</v>
      </c>
      <c r="AD108" s="10">
        <f>SUM($AC$101:AC108)</f>
        <v>256305.29743383432</v>
      </c>
      <c r="AE108" s="73">
        <f t="shared" si="38"/>
        <v>2857.3002510315919</v>
      </c>
      <c r="AF108" s="73">
        <f t="shared" si="39"/>
        <v>9598.2243160395246</v>
      </c>
      <c r="AG108" s="74">
        <f t="shared" si="40"/>
        <v>92717.653763926704</v>
      </c>
      <c r="AH108" s="10">
        <f t="shared" si="48"/>
        <v>371043.53017426754</v>
      </c>
    </row>
    <row r="109" spans="7:34">
      <c r="G109">
        <v>9</v>
      </c>
      <c r="H109" s="10">
        <f t="shared" si="45"/>
        <v>0</v>
      </c>
      <c r="I109" s="10">
        <f>SUM($H$101:H109)+M109</f>
        <v>191109.4079658846</v>
      </c>
      <c r="J109" s="10">
        <f t="shared" si="41"/>
        <v>0</v>
      </c>
      <c r="K109" s="10">
        <f t="shared" si="42"/>
        <v>438586.97062315803</v>
      </c>
      <c r="L109" s="10">
        <f t="shared" si="29"/>
        <v>503936.42924600857</v>
      </c>
      <c r="M109" s="10">
        <f t="shared" si="30"/>
        <v>11109.407965884591</v>
      </c>
      <c r="N109" s="10">
        <f t="shared" si="43"/>
        <v>492827.02128012397</v>
      </c>
      <c r="O109" s="7">
        <f t="shared" si="31"/>
        <v>1971.3080851204959</v>
      </c>
      <c r="P109" s="10">
        <f t="shared" si="32"/>
        <v>490855.71319500345</v>
      </c>
      <c r="U109">
        <v>9</v>
      </c>
      <c r="V109" s="10">
        <f t="shared" si="33"/>
        <v>11193.954449643232</v>
      </c>
      <c r="W109" s="10">
        <f t="shared" si="44"/>
        <v>10503.954449643232</v>
      </c>
      <c r="X109" s="10">
        <f t="shared" si="46"/>
        <v>486720.66295490856</v>
      </c>
      <c r="Y109" s="73">
        <f t="shared" si="34"/>
        <v>24336.033147745431</v>
      </c>
      <c r="Z109" s="73">
        <f t="shared" si="35"/>
        <v>6570.7289498912669</v>
      </c>
      <c r="AA109" s="74">
        <f t="shared" si="36"/>
        <v>0</v>
      </c>
      <c r="AB109" s="73">
        <f t="shared" si="37"/>
        <v>553158.03344825364</v>
      </c>
      <c r="AC109" s="10">
        <f t="shared" si="47"/>
        <v>66437.370493345079</v>
      </c>
      <c r="AD109" s="10">
        <f>SUM($AC$101:AC109)</f>
        <v>322742.66792717937</v>
      </c>
      <c r="AE109" s="73">
        <f t="shared" si="38"/>
        <v>3318.9482006895219</v>
      </c>
      <c r="AF109" s="73">
        <f t="shared" si="39"/>
        <v>8684.2710501087349</v>
      </c>
      <c r="AG109" s="74">
        <f t="shared" si="40"/>
        <v>122043.0544514684</v>
      </c>
      <c r="AH109" s="10">
        <f t="shared" si="48"/>
        <v>419111.75974598702</v>
      </c>
    </row>
    <row r="110" spans="7:34">
      <c r="G110">
        <v>10</v>
      </c>
      <c r="H110" s="10">
        <f t="shared" si="45"/>
        <v>0</v>
      </c>
      <c r="I110" s="10">
        <f>SUM($H$101:H110)+M110</f>
        <v>192764.7097528014</v>
      </c>
      <c r="J110" s="10">
        <f t="shared" si="41"/>
        <v>0</v>
      </c>
      <c r="K110" s="10">
        <f t="shared" si="42"/>
        <v>503936.42924600857</v>
      </c>
      <c r="L110" s="10">
        <f t="shared" si="29"/>
        <v>579022.95720366389</v>
      </c>
      <c r="M110" s="10">
        <f t="shared" si="30"/>
        <v>12764.709752801404</v>
      </c>
      <c r="N110" s="10">
        <f t="shared" si="43"/>
        <v>566258.24745086243</v>
      </c>
      <c r="O110" s="7">
        <f t="shared" si="31"/>
        <v>2265.0329898034497</v>
      </c>
      <c r="P110" s="10">
        <f t="shared" si="32"/>
        <v>563993.21446105896</v>
      </c>
      <c r="U110">
        <v>10</v>
      </c>
      <c r="V110" s="10">
        <f t="shared" si="33"/>
        <v>12861.853662640073</v>
      </c>
      <c r="W110" s="10">
        <f t="shared" si="44"/>
        <v>12171.853662640073</v>
      </c>
      <c r="X110" s="10">
        <f t="shared" si="46"/>
        <v>565329.88711089373</v>
      </c>
      <c r="Y110" s="73">
        <f t="shared" si="34"/>
        <v>28266.494355544688</v>
      </c>
      <c r="Z110" s="73">
        <f t="shared" si="35"/>
        <v>7631.9534759970666</v>
      </c>
      <c r="AA110" s="74">
        <f t="shared" si="36"/>
        <v>0</v>
      </c>
      <c r="AB110" s="73">
        <f t="shared" si="37"/>
        <v>642497.4167015308</v>
      </c>
      <c r="AC110" s="10">
        <f t="shared" si="47"/>
        <v>77167.529590637074</v>
      </c>
      <c r="AD110" s="10">
        <f>SUM($AC$101:AC110)</f>
        <v>399910.19751781644</v>
      </c>
      <c r="AE110" s="73">
        <f t="shared" si="38"/>
        <v>3854.9845002091847</v>
      </c>
      <c r="AF110" s="73">
        <f t="shared" si="39"/>
        <v>7623.0465240029343</v>
      </c>
      <c r="AG110" s="74">
        <f t="shared" si="40"/>
        <v>156104.21058681168</v>
      </c>
      <c r="AH110" s="10">
        <f t="shared" si="48"/>
        <v>474915.17509050702</v>
      </c>
    </row>
    <row r="111" spans="7:34">
      <c r="G111">
        <v>11</v>
      </c>
      <c r="H111" s="10">
        <f t="shared" si="45"/>
        <v>0</v>
      </c>
      <c r="I111" s="10">
        <f>SUM($H$101:H111)+M111</f>
        <v>194666.6515059688</v>
      </c>
      <c r="J111" s="10">
        <f t="shared" si="41"/>
        <v>0</v>
      </c>
      <c r="K111" s="10">
        <f t="shared" si="42"/>
        <v>579022.95720366389</v>
      </c>
      <c r="L111" s="10">
        <f t="shared" si="29"/>
        <v>665297.37782700977</v>
      </c>
      <c r="M111" s="10">
        <f t="shared" si="30"/>
        <v>14666.651505968801</v>
      </c>
      <c r="N111" s="10">
        <f t="shared" si="43"/>
        <v>650630.726321041</v>
      </c>
      <c r="O111" s="7">
        <f t="shared" si="31"/>
        <v>2602.5229052841642</v>
      </c>
      <c r="P111" s="10">
        <f t="shared" si="32"/>
        <v>648028.20341575681</v>
      </c>
      <c r="U111">
        <v>11</v>
      </c>
      <c r="V111" s="10">
        <f t="shared" si="33"/>
        <v>14778.269858373447</v>
      </c>
      <c r="W111" s="10">
        <f t="shared" si="44"/>
        <v>14088.269858373447</v>
      </c>
      <c r="X111" s="10">
        <f t="shared" si="46"/>
        <v>656585.68655990425</v>
      </c>
      <c r="Y111" s="73">
        <f t="shared" si="34"/>
        <v>32829.284327995214</v>
      </c>
      <c r="Z111" s="73">
        <f t="shared" si="35"/>
        <v>8863.9067685587088</v>
      </c>
      <c r="AA111" s="74">
        <f t="shared" si="36"/>
        <v>0</v>
      </c>
      <c r="AB111" s="73">
        <f t="shared" si="37"/>
        <v>746209.63277533127</v>
      </c>
      <c r="AC111" s="10">
        <f t="shared" si="47"/>
        <v>89623.946215427015</v>
      </c>
      <c r="AD111" s="10">
        <f>SUM($AC$101:AC111)</f>
        <v>489534.14373324346</v>
      </c>
      <c r="AE111" s="73">
        <f t="shared" si="38"/>
        <v>4477.2577966519875</v>
      </c>
      <c r="AF111" s="73">
        <f t="shared" si="39"/>
        <v>6391.093231441293</v>
      </c>
      <c r="AG111" s="74">
        <f t="shared" si="40"/>
        <v>195662.63978572024</v>
      </c>
      <c r="AH111" s="10">
        <f t="shared" si="48"/>
        <v>539678.64196151763</v>
      </c>
    </row>
    <row r="112" spans="7:34">
      <c r="G112">
        <v>12</v>
      </c>
      <c r="H112" s="10">
        <f t="shared" si="45"/>
        <v>0</v>
      </c>
      <c r="I112" s="10">
        <f>SUM($H$101:H112)+M112</f>
        <v>196851.98258035816</v>
      </c>
      <c r="J112" s="10">
        <f t="shared" si="41"/>
        <v>0</v>
      </c>
      <c r="K112" s="10">
        <f t="shared" si="42"/>
        <v>665297.37782700977</v>
      </c>
      <c r="L112" s="10">
        <f t="shared" si="29"/>
        <v>764426.68712323427</v>
      </c>
      <c r="M112" s="10">
        <f t="shared" si="30"/>
        <v>16851.982580358166</v>
      </c>
      <c r="N112" s="10">
        <f t="shared" si="43"/>
        <v>747574.7045428761</v>
      </c>
      <c r="O112" s="7">
        <f t="shared" si="31"/>
        <v>2990.2988181715045</v>
      </c>
      <c r="P112" s="10">
        <f t="shared" si="32"/>
        <v>744584.40572470461</v>
      </c>
      <c r="U112">
        <v>12</v>
      </c>
      <c r="V112" s="10">
        <f t="shared" si="33"/>
        <v>16980.232067271088</v>
      </c>
      <c r="W112" s="10">
        <f t="shared" si="44"/>
        <v>16290.232067271088</v>
      </c>
      <c r="X112" s="10">
        <f t="shared" si="46"/>
        <v>762499.8648426024</v>
      </c>
      <c r="Y112" s="73">
        <f t="shared" si="34"/>
        <v>38124.99324213012</v>
      </c>
      <c r="Z112" s="73">
        <f t="shared" si="35"/>
        <v>10293.748175375133</v>
      </c>
      <c r="AA112" s="74">
        <f t="shared" si="36"/>
        <v>0</v>
      </c>
      <c r="AB112" s="73">
        <f t="shared" si="37"/>
        <v>866581.09639361768</v>
      </c>
      <c r="AC112" s="10">
        <f t="shared" si="47"/>
        <v>104081.23155101528</v>
      </c>
      <c r="AD112" s="10">
        <f>SUM($AC$101:AC112)</f>
        <v>593615.37528425874</v>
      </c>
      <c r="AE112" s="73">
        <f t="shared" si="38"/>
        <v>5199.4865783617061</v>
      </c>
      <c r="AF112" s="73">
        <f t="shared" si="39"/>
        <v>4961.2518246248683</v>
      </c>
      <c r="AG112" s="74">
        <f t="shared" si="40"/>
        <v>241600.95478108333</v>
      </c>
      <c r="AH112" s="10">
        <f t="shared" si="48"/>
        <v>614819.40320954775</v>
      </c>
    </row>
    <row r="113" spans="7:34">
      <c r="G113">
        <v>13</v>
      </c>
      <c r="H113" s="10">
        <f t="shared" si="45"/>
        <v>0</v>
      </c>
      <c r="I113" s="10">
        <f>SUM($H$101:H113)+M113</f>
        <v>199362.92798483153</v>
      </c>
      <c r="J113" s="10">
        <f t="shared" si="41"/>
        <v>0</v>
      </c>
      <c r="K113" s="10">
        <f t="shared" si="42"/>
        <v>764426.68712323427</v>
      </c>
      <c r="L113" s="10">
        <f t="shared" si="29"/>
        <v>878326.26350459619</v>
      </c>
      <c r="M113" s="10">
        <f t="shared" si="30"/>
        <v>19362.927984831527</v>
      </c>
      <c r="N113" s="10">
        <f t="shared" si="43"/>
        <v>858963.33551976469</v>
      </c>
      <c r="O113" s="7">
        <f t="shared" si="31"/>
        <v>3435.8533420790591</v>
      </c>
      <c r="P113" s="10">
        <f t="shared" si="32"/>
        <v>855527.4821776856</v>
      </c>
      <c r="U113">
        <v>13</v>
      </c>
      <c r="V113" s="10">
        <f t="shared" si="33"/>
        <v>19510.28664529448</v>
      </c>
      <c r="W113" s="10">
        <f t="shared" si="44"/>
        <v>18820.28664529448</v>
      </c>
      <c r="X113" s="10">
        <f t="shared" si="46"/>
        <v>885401.3830389122</v>
      </c>
      <c r="Y113" s="73">
        <f t="shared" si="34"/>
        <v>44270.069151945616</v>
      </c>
      <c r="Z113" s="73">
        <f t="shared" si="35"/>
        <v>11952.918671025318</v>
      </c>
      <c r="AA113" s="74">
        <f t="shared" si="36"/>
        <v>0</v>
      </c>
      <c r="AB113" s="73">
        <f t="shared" si="37"/>
        <v>1006258.6718237238</v>
      </c>
      <c r="AC113" s="10">
        <f t="shared" si="47"/>
        <v>120857.28878481162</v>
      </c>
      <c r="AD113" s="10">
        <f>SUM($AC$101:AC113)</f>
        <v>714472.66406907036</v>
      </c>
      <c r="AE113" s="73">
        <f t="shared" si="38"/>
        <v>6037.5520309423428</v>
      </c>
      <c r="AF113" s="73">
        <f t="shared" si="39"/>
        <v>3302.0813289746839</v>
      </c>
      <c r="AG113" s="74">
        <f t="shared" si="40"/>
        <v>294941.94795282674</v>
      </c>
      <c r="AH113" s="10">
        <f t="shared" si="48"/>
        <v>701977.09051098011</v>
      </c>
    </row>
    <row r="114" spans="7:34">
      <c r="G114">
        <v>14</v>
      </c>
      <c r="H114" s="10">
        <f t="shared" si="45"/>
        <v>0</v>
      </c>
      <c r="I114" s="10">
        <f>SUM($H$101:H114)+M114</f>
        <v>202248.00425457142</v>
      </c>
      <c r="J114" s="10">
        <f t="shared" si="41"/>
        <v>0</v>
      </c>
      <c r="K114" s="10">
        <f t="shared" si="42"/>
        <v>878326.26350459619</v>
      </c>
      <c r="L114" s="10">
        <f t="shared" si="29"/>
        <v>1009196.8767667811</v>
      </c>
      <c r="M114" s="10">
        <f t="shared" si="30"/>
        <v>22248.004254571435</v>
      </c>
      <c r="N114" s="10">
        <f t="shared" si="43"/>
        <v>986948.87251220969</v>
      </c>
      <c r="O114" s="7">
        <f t="shared" si="31"/>
        <v>3947.7954900488389</v>
      </c>
      <c r="P114" s="10">
        <f t="shared" si="32"/>
        <v>983001.07702216087</v>
      </c>
      <c r="U114">
        <v>14</v>
      </c>
      <c r="V114" s="10">
        <f t="shared" si="33"/>
        <v>22417.319355443356</v>
      </c>
      <c r="W114" s="10">
        <f t="shared" si="44"/>
        <v>21727.319355443356</v>
      </c>
      <c r="X114" s="10">
        <f t="shared" si="46"/>
        <v>1027985.9911791672</v>
      </c>
      <c r="Y114" s="73">
        <f t="shared" si="34"/>
        <v>51399.299558958359</v>
      </c>
      <c r="Z114" s="73">
        <f t="shared" si="35"/>
        <v>13877.810880918758</v>
      </c>
      <c r="AA114" s="74">
        <f t="shared" si="36"/>
        <v>0</v>
      </c>
      <c r="AB114" s="73">
        <f t="shared" si="37"/>
        <v>1168306.0789751236</v>
      </c>
      <c r="AC114" s="10">
        <f t="shared" si="47"/>
        <v>140320.08779595641</v>
      </c>
      <c r="AD114" s="10">
        <f>SUM($AC$101:AC114)</f>
        <v>854792.75186502677</v>
      </c>
      <c r="AE114" s="73">
        <f t="shared" si="38"/>
        <v>7009.8364738507416</v>
      </c>
      <c r="AF114" s="73">
        <f t="shared" si="39"/>
        <v>1377.1891190812432</v>
      </c>
      <c r="AG114" s="74">
        <f t="shared" si="40"/>
        <v>356870.66159807373</v>
      </c>
      <c r="AH114" s="10">
        <f t="shared" si="48"/>
        <v>803048.39178411779</v>
      </c>
    </row>
    <row r="115" spans="7:34">
      <c r="G115">
        <v>15</v>
      </c>
      <c r="H115" s="10">
        <f t="shared" si="45"/>
        <v>0</v>
      </c>
      <c r="I115" s="10">
        <f>SUM($H$101:H115)+M115</f>
        <v>205562.95688850255</v>
      </c>
      <c r="J115" s="10">
        <f t="shared" si="41"/>
        <v>0</v>
      </c>
      <c r="K115" s="10">
        <f t="shared" si="42"/>
        <v>1009196.8767667811</v>
      </c>
      <c r="L115" s="10">
        <f t="shared" si="29"/>
        <v>1159567.2114050314</v>
      </c>
      <c r="M115" s="10">
        <f t="shared" si="30"/>
        <v>25562.956888502551</v>
      </c>
      <c r="N115" s="10">
        <f t="shared" si="43"/>
        <v>1134004.2545165289</v>
      </c>
      <c r="O115" s="7">
        <f t="shared" si="31"/>
        <v>4536.0170180661162</v>
      </c>
      <c r="P115" s="10">
        <f t="shared" si="32"/>
        <v>1129468.2374984629</v>
      </c>
      <c r="U115">
        <v>15</v>
      </c>
      <c r="V115" s="10">
        <f t="shared" si="33"/>
        <v>25757.499939404428</v>
      </c>
      <c r="W115" s="10">
        <f t="shared" si="44"/>
        <v>25067.499939404428</v>
      </c>
      <c r="X115" s="10">
        <f t="shared" si="46"/>
        <v>1193373.578914528</v>
      </c>
      <c r="Y115" s="73">
        <f t="shared" si="34"/>
        <v>59668.678945726402</v>
      </c>
      <c r="Z115" s="73">
        <f t="shared" si="35"/>
        <v>15255.000000000002</v>
      </c>
      <c r="AA115" s="74">
        <f t="shared" si="36"/>
        <v>1330.8451572050888</v>
      </c>
      <c r="AB115" s="73">
        <f t="shared" si="37"/>
        <v>1355793.7705945023</v>
      </c>
      <c r="AC115" s="10">
        <f t="shared" si="47"/>
        <v>162420.19167997432</v>
      </c>
      <c r="AD115" s="10">
        <f>SUM($AC$101:AC115)</f>
        <v>1017212.9435450011</v>
      </c>
      <c r="AE115" s="73">
        <f t="shared" si="38"/>
        <v>8134.7626235670141</v>
      </c>
      <c r="AF115" s="73">
        <f t="shared" si="39"/>
        <v>0</v>
      </c>
      <c r="AG115" s="74">
        <f t="shared" si="40"/>
        <v>427229.43628890044</v>
      </c>
      <c r="AH115" s="10">
        <f t="shared" si="48"/>
        <v>920429.57168203499</v>
      </c>
    </row>
    <row r="116" spans="7:34">
      <c r="G116">
        <v>16</v>
      </c>
      <c r="H116" s="10">
        <f t="shared" si="45"/>
        <v>0</v>
      </c>
      <c r="I116" s="10">
        <f>SUM($H$101:H116)+M116</f>
        <v>209371.83746488945</v>
      </c>
      <c r="J116" s="10">
        <f t="shared" si="41"/>
        <v>0</v>
      </c>
      <c r="K116" s="10">
        <f t="shared" si="42"/>
        <v>1159567.2114050314</v>
      </c>
      <c r="L116" s="10">
        <f t="shared" si="29"/>
        <v>1332342.7259043811</v>
      </c>
      <c r="M116" s="10">
        <f t="shared" si="30"/>
        <v>29371.837464889461</v>
      </c>
      <c r="N116" s="10">
        <f t="shared" si="43"/>
        <v>1302970.8884394916</v>
      </c>
      <c r="O116" s="7">
        <f t="shared" si="31"/>
        <v>5211.8835537579671</v>
      </c>
      <c r="P116" s="10">
        <f t="shared" si="32"/>
        <v>1297759.0048857336</v>
      </c>
      <c r="U116">
        <v>16</v>
      </c>
      <c r="V116" s="10">
        <f t="shared" si="33"/>
        <v>29595.367430375678</v>
      </c>
      <c r="W116" s="10">
        <f t="shared" si="44"/>
        <v>28905.367430375678</v>
      </c>
      <c r="X116" s="10">
        <f t="shared" si="46"/>
        <v>1384699.138024878</v>
      </c>
      <c r="Y116" s="73">
        <f t="shared" si="34"/>
        <v>69234.956901243902</v>
      </c>
      <c r="Z116" s="73">
        <f t="shared" si="35"/>
        <v>15255.000000000002</v>
      </c>
      <c r="AA116" s="74">
        <f t="shared" si="36"/>
        <v>5348.681898522439</v>
      </c>
      <c r="AB116" s="73">
        <f t="shared" si="37"/>
        <v>1571800.3268300875</v>
      </c>
      <c r="AC116" s="10">
        <f t="shared" si="47"/>
        <v>187101.18880520947</v>
      </c>
      <c r="AD116" s="10">
        <f>SUM($AC$101:AC116)</f>
        <v>1204314.1323502106</v>
      </c>
      <c r="AE116" s="73">
        <f t="shared" si="38"/>
        <v>9430.8019609805251</v>
      </c>
      <c r="AF116" s="73">
        <f t="shared" si="39"/>
        <v>0</v>
      </c>
      <c r="AG116" s="74">
        <f t="shared" si="40"/>
        <v>505811.9355870884</v>
      </c>
      <c r="AH116" s="10">
        <f t="shared" si="48"/>
        <v>1056557.5892820186</v>
      </c>
    </row>
    <row r="117" spans="7:34">
      <c r="G117">
        <v>17</v>
      </c>
      <c r="H117" s="10">
        <f t="shared" si="45"/>
        <v>0</v>
      </c>
      <c r="I117" s="10">
        <f>SUM($H$101:H117)+M117</f>
        <v>213748.241247158</v>
      </c>
      <c r="J117" s="10">
        <f t="shared" si="41"/>
        <v>0</v>
      </c>
      <c r="K117" s="10">
        <f t="shared" si="42"/>
        <v>1332342.7259043811</v>
      </c>
      <c r="L117" s="10">
        <f t="shared" si="29"/>
        <v>1530861.792064134</v>
      </c>
      <c r="M117" s="10">
        <f t="shared" si="30"/>
        <v>33748.241247157996</v>
      </c>
      <c r="N117" s="10">
        <f t="shared" si="43"/>
        <v>1497113.550816976</v>
      </c>
      <c r="O117" s="7">
        <f t="shared" si="31"/>
        <v>5988.4542032679037</v>
      </c>
      <c r="P117" s="10">
        <f t="shared" si="32"/>
        <v>1491125.0966137082</v>
      </c>
      <c r="U117">
        <v>17</v>
      </c>
      <c r="V117" s="10">
        <f t="shared" si="33"/>
        <v>34005.077177501647</v>
      </c>
      <c r="W117" s="10">
        <f t="shared" si="44"/>
        <v>33315.077177501647</v>
      </c>
      <c r="X117" s="10">
        <f t="shared" si="46"/>
        <v>1605115.4040075892</v>
      </c>
      <c r="Y117" s="73">
        <f t="shared" si="34"/>
        <v>80255.770200379469</v>
      </c>
      <c r="Z117" s="73">
        <f t="shared" si="35"/>
        <v>15255.000000000002</v>
      </c>
      <c r="AA117" s="74">
        <f t="shared" si="36"/>
        <v>9977.423484159377</v>
      </c>
      <c r="AB117" s="73">
        <f t="shared" si="37"/>
        <v>1820650.2911245683</v>
      </c>
      <c r="AC117" s="10">
        <f t="shared" si="47"/>
        <v>215534.88711697911</v>
      </c>
      <c r="AD117" s="10">
        <f>SUM($AC$101:AC117)</f>
        <v>1419849.0194671897</v>
      </c>
      <c r="AE117" s="73">
        <f t="shared" si="38"/>
        <v>10923.90174674741</v>
      </c>
      <c r="AF117" s="73">
        <f t="shared" si="39"/>
        <v>0</v>
      </c>
      <c r="AG117" s="74">
        <f t="shared" si="40"/>
        <v>596336.58817621961</v>
      </c>
      <c r="AH117" s="10">
        <f t="shared" si="48"/>
        <v>1213389.8012016015</v>
      </c>
    </row>
    <row r="118" spans="7:34">
      <c r="G118">
        <v>18</v>
      </c>
      <c r="H118" s="10">
        <f t="shared" si="45"/>
        <v>0</v>
      </c>
      <c r="I118" s="10">
        <f>SUM($H$101:H118)+M118</f>
        <v>218776.72919298452</v>
      </c>
      <c r="J118" s="10">
        <f t="shared" si="41"/>
        <v>0</v>
      </c>
      <c r="K118" s="10">
        <f t="shared" si="42"/>
        <v>1530861.792064134</v>
      </c>
      <c r="L118" s="10">
        <f t="shared" si="29"/>
        <v>1758960.1990816901</v>
      </c>
      <c r="M118" s="10">
        <f t="shared" si="30"/>
        <v>38776.729192984523</v>
      </c>
      <c r="N118" s="10">
        <f t="shared" si="43"/>
        <v>1720183.4698887055</v>
      </c>
      <c r="O118" s="7">
        <f t="shared" si="31"/>
        <v>6880.7338795548221</v>
      </c>
      <c r="P118" s="10">
        <f t="shared" si="32"/>
        <v>1713302.7360091507</v>
      </c>
      <c r="U118">
        <v>18</v>
      </c>
      <c r="V118" s="10">
        <f t="shared" si="33"/>
        <v>39071.833676949398</v>
      </c>
      <c r="W118" s="10">
        <f t="shared" si="44"/>
        <v>38381.833676949398</v>
      </c>
      <c r="X118" s="10">
        <f t="shared" si="46"/>
        <v>1859032.1248015177</v>
      </c>
      <c r="Y118" s="73">
        <f t="shared" si="34"/>
        <v>92951.606240075896</v>
      </c>
      <c r="Z118" s="73">
        <f t="shared" si="35"/>
        <v>15255.000000000002</v>
      </c>
      <c r="AA118" s="74">
        <f t="shared" si="36"/>
        <v>15309.674620831876</v>
      </c>
      <c r="AB118" s="73">
        <f t="shared" si="37"/>
        <v>2107322.2689009137</v>
      </c>
      <c r="AC118" s="10">
        <f t="shared" si="47"/>
        <v>248290.14409939595</v>
      </c>
      <c r="AD118" s="10">
        <f>SUM($AC$101:AC118)</f>
        <v>1668139.1635665856</v>
      </c>
      <c r="AE118" s="73">
        <f t="shared" si="38"/>
        <v>12643.933613405483</v>
      </c>
      <c r="AF118" s="73">
        <f t="shared" si="39"/>
        <v>0</v>
      </c>
      <c r="AG118" s="74">
        <f t="shared" si="40"/>
        <v>700618.44869796594</v>
      </c>
      <c r="AH118" s="10">
        <f t="shared" si="48"/>
        <v>1394059.886589542</v>
      </c>
    </row>
    <row r="119" spans="7:34">
      <c r="G119">
        <v>19</v>
      </c>
      <c r="H119" s="10">
        <f t="shared" si="45"/>
        <v>0</v>
      </c>
      <c r="I119" s="10">
        <f>SUM($H$101:H119)+M119</f>
        <v>224554.46184273923</v>
      </c>
      <c r="J119" s="10">
        <f t="shared" si="41"/>
        <v>0</v>
      </c>
      <c r="K119" s="10">
        <f t="shared" si="42"/>
        <v>1758960.1990816901</v>
      </c>
      <c r="L119" s="10">
        <f t="shared" si="29"/>
        <v>2021045.2687448619</v>
      </c>
      <c r="M119" s="10">
        <f t="shared" si="30"/>
        <v>44554.461842739227</v>
      </c>
      <c r="N119" s="10">
        <f t="shared" si="43"/>
        <v>1976490.8069021227</v>
      </c>
      <c r="O119" s="7">
        <f t="shared" si="31"/>
        <v>7905.9632276084913</v>
      </c>
      <c r="P119" s="10">
        <f t="shared" si="32"/>
        <v>1968584.8436745142</v>
      </c>
      <c r="U119">
        <v>19</v>
      </c>
      <c r="V119" s="10">
        <f t="shared" si="33"/>
        <v>44893.536894814875</v>
      </c>
      <c r="W119" s="10">
        <f t="shared" si="44"/>
        <v>44203.536894814875</v>
      </c>
      <c r="X119" s="10">
        <f t="shared" si="46"/>
        <v>2151525.8057957287</v>
      </c>
      <c r="Y119" s="73">
        <f t="shared" si="34"/>
        <v>107576.29028978644</v>
      </c>
      <c r="Z119" s="73">
        <f t="shared" si="35"/>
        <v>15255.000000000002</v>
      </c>
      <c r="AA119" s="74">
        <f t="shared" si="36"/>
        <v>21452.041921710304</v>
      </c>
      <c r="AB119" s="73">
        <f t="shared" si="37"/>
        <v>2437547.634743378</v>
      </c>
      <c r="AC119" s="10">
        <f t="shared" si="47"/>
        <v>286021.82894764934</v>
      </c>
      <c r="AD119" s="10">
        <f>SUM($AC$101:AC119)</f>
        <v>1954160.992514235</v>
      </c>
      <c r="AE119" s="73">
        <f t="shared" si="38"/>
        <v>14625.285808460269</v>
      </c>
      <c r="AF119" s="73">
        <f t="shared" si="39"/>
        <v>0</v>
      </c>
      <c r="AG119" s="74">
        <f t="shared" si="40"/>
        <v>820747.61685597862</v>
      </c>
      <c r="AH119" s="10">
        <f t="shared" si="48"/>
        <v>1602174.7320789392</v>
      </c>
    </row>
    <row r="120" spans="7:34">
      <c r="G120">
        <v>20</v>
      </c>
      <c r="H120" s="10">
        <f t="shared" si="45"/>
        <v>0</v>
      </c>
      <c r="I120" s="10">
        <f>SUM($H$101:H120)+M120</f>
        <v>231193.07665730739</v>
      </c>
      <c r="J120" s="10">
        <f t="shared" si="41"/>
        <v>0</v>
      </c>
      <c r="K120" s="10">
        <f t="shared" si="42"/>
        <v>2021045.2687448619</v>
      </c>
      <c r="L120" s="10">
        <f t="shared" si="29"/>
        <v>2322181.0137878465</v>
      </c>
      <c r="M120" s="10">
        <f t="shared" si="30"/>
        <v>51193.076657307385</v>
      </c>
      <c r="N120" s="10">
        <f t="shared" si="43"/>
        <v>2270987.9371305392</v>
      </c>
      <c r="O120" s="7">
        <f t="shared" si="31"/>
        <v>9083.9517485221568</v>
      </c>
      <c r="P120" s="10">
        <f t="shared" si="32"/>
        <v>2261903.9853820172</v>
      </c>
      <c r="U120">
        <v>20</v>
      </c>
      <c r="V120" s="10">
        <f t="shared" si="33"/>
        <v>51582.673892142258</v>
      </c>
      <c r="W120" s="10">
        <f t="shared" si="44"/>
        <v>50892.673892142258</v>
      </c>
      <c r="X120" s="10">
        <f t="shared" si="46"/>
        <v>2488440.3086355203</v>
      </c>
      <c r="Y120" s="73">
        <f t="shared" si="34"/>
        <v>124422.01543177602</v>
      </c>
      <c r="Z120" s="73">
        <f t="shared" si="35"/>
        <v>15255.000000000002</v>
      </c>
      <c r="AA120" s="74">
        <f t="shared" si="36"/>
        <v>28527.246481345926</v>
      </c>
      <c r="AB120" s="73">
        <f t="shared" si="37"/>
        <v>2817924.1084495028</v>
      </c>
      <c r="AC120" s="10">
        <f t="shared" si="47"/>
        <v>329483.79981398256</v>
      </c>
      <c r="AD120" s="10">
        <f>SUM($AC$101:AC120)</f>
        <v>2283644.7923282175</v>
      </c>
      <c r="AE120" s="73">
        <f t="shared" si="38"/>
        <v>16907.544650697018</v>
      </c>
      <c r="AF120" s="73">
        <f t="shared" si="39"/>
        <v>0</v>
      </c>
      <c r="AG120" s="74">
        <f t="shared" si="40"/>
        <v>959130.81277785136</v>
      </c>
      <c r="AH120" s="10">
        <f t="shared" si="48"/>
        <v>1841885.7510209545</v>
      </c>
    </row>
    <row r="121" spans="7:34">
      <c r="G121">
        <v>21</v>
      </c>
      <c r="H121" s="10">
        <f t="shared" si="45"/>
        <v>0</v>
      </c>
      <c r="I121" s="10">
        <f>SUM($H$101:H121)+M121</f>
        <v>238820.84507924615</v>
      </c>
      <c r="J121" s="10">
        <f t="shared" si="41"/>
        <v>0</v>
      </c>
      <c r="K121" s="10">
        <f t="shared" si="42"/>
        <v>2322181.0137878465</v>
      </c>
      <c r="L121" s="10">
        <f t="shared" si="29"/>
        <v>2668185.9848422357</v>
      </c>
      <c r="M121" s="10">
        <f t="shared" si="30"/>
        <v>58820.845079246159</v>
      </c>
      <c r="N121" s="10">
        <f t="shared" si="43"/>
        <v>2609365.1397629897</v>
      </c>
      <c r="O121" s="7">
        <f t="shared" si="31"/>
        <v>10437.46055905196</v>
      </c>
      <c r="P121" s="10">
        <f t="shared" si="32"/>
        <v>2598927.6792039378</v>
      </c>
      <c r="U121">
        <v>21</v>
      </c>
      <c r="V121" s="10">
        <f t="shared" si="33"/>
        <v>59268.492302071441</v>
      </c>
      <c r="W121" s="10">
        <f t="shared" si="44"/>
        <v>58578.492302071441</v>
      </c>
      <c r="X121" s="10">
        <f t="shared" si="46"/>
        <v>2876502.6007515742</v>
      </c>
      <c r="Y121" s="73">
        <f t="shared" si="34"/>
        <v>143825.13003757873</v>
      </c>
      <c r="Z121" s="73">
        <f t="shared" si="35"/>
        <v>15255.000000000002</v>
      </c>
      <c r="AA121" s="74">
        <f t="shared" si="36"/>
        <v>36676.554615783061</v>
      </c>
      <c r="AB121" s="73">
        <f t="shared" si="37"/>
        <v>3256046.4362485274</v>
      </c>
      <c r="AC121" s="10">
        <f t="shared" si="47"/>
        <v>379543.83549695322</v>
      </c>
      <c r="AD121" s="10">
        <f>SUM($AC$101:AC121)</f>
        <v>2663188.6278251708</v>
      </c>
      <c r="AE121" s="73">
        <f t="shared" si="38"/>
        <v>19536.278617491167</v>
      </c>
      <c r="AF121" s="73">
        <f t="shared" si="39"/>
        <v>0</v>
      </c>
      <c r="AG121" s="74">
        <f t="shared" si="40"/>
        <v>1118539.2236865717</v>
      </c>
      <c r="AH121" s="10">
        <f t="shared" si="48"/>
        <v>2117970.9339444647</v>
      </c>
    </row>
    <row r="122" spans="7:34">
      <c r="G122">
        <v>22</v>
      </c>
      <c r="H122" s="10">
        <f t="shared" si="45"/>
        <v>0</v>
      </c>
      <c r="I122" s="10">
        <f>SUM($H$101:H122)+M122</f>
        <v>247585.15099605382</v>
      </c>
      <c r="J122" s="10">
        <f t="shared" si="41"/>
        <v>0</v>
      </c>
      <c r="K122" s="10">
        <f t="shared" si="42"/>
        <v>2668185.9848422357</v>
      </c>
      <c r="L122" s="10">
        <f t="shared" si="29"/>
        <v>3065745.6965837288</v>
      </c>
      <c r="M122" s="10">
        <f t="shared" si="30"/>
        <v>67585.150996053824</v>
      </c>
      <c r="N122" s="10">
        <f t="shared" si="43"/>
        <v>2998160.5455876747</v>
      </c>
      <c r="O122" s="7">
        <f t="shared" si="31"/>
        <v>11992.642182350699</v>
      </c>
      <c r="P122" s="10">
        <f t="shared" si="32"/>
        <v>2986167.9034053241</v>
      </c>
      <c r="U122">
        <v>22</v>
      </c>
      <c r="V122" s="10">
        <f t="shared" si="33"/>
        <v>68099.497655080151</v>
      </c>
      <c r="W122" s="10">
        <f t="shared" si="44"/>
        <v>67409.497655080151</v>
      </c>
      <c r="X122" s="10">
        <f t="shared" si="46"/>
        <v>3323455.9339036075</v>
      </c>
      <c r="Y122" s="73">
        <f t="shared" si="34"/>
        <v>166172.79669518038</v>
      </c>
      <c r="Z122" s="73">
        <f t="shared" si="35"/>
        <v>15255.000000000002</v>
      </c>
      <c r="AA122" s="74">
        <f t="shared" si="36"/>
        <v>46062.57461197576</v>
      </c>
      <c r="AB122" s="73">
        <f t="shared" si="37"/>
        <v>3760656.7493771729</v>
      </c>
      <c r="AC122" s="10">
        <f t="shared" si="47"/>
        <v>437200.81547356537</v>
      </c>
      <c r="AD122" s="10">
        <f>SUM($AC$101:AC122)</f>
        <v>3100389.4432987361</v>
      </c>
      <c r="AE122" s="73">
        <f t="shared" si="38"/>
        <v>22563.940496263036</v>
      </c>
      <c r="AF122" s="73">
        <f t="shared" si="39"/>
        <v>0</v>
      </c>
      <c r="AG122" s="74">
        <f t="shared" si="40"/>
        <v>1302163.566185469</v>
      </c>
      <c r="AH122" s="10">
        <f t="shared" si="48"/>
        <v>2435929.2426954405</v>
      </c>
    </row>
    <row r="123" spans="7:34">
      <c r="G123">
        <v>23</v>
      </c>
      <c r="H123" s="10">
        <f t="shared" si="45"/>
        <v>0</v>
      </c>
      <c r="I123" s="10">
        <f>SUM($H$101:H123)+M123</f>
        <v>257655.33849446586</v>
      </c>
      <c r="J123" s="10">
        <f t="shared" si="41"/>
        <v>0</v>
      </c>
      <c r="K123" s="10">
        <f t="shared" si="42"/>
        <v>3065745.6965837288</v>
      </c>
      <c r="L123" s="10">
        <f t="shared" si="29"/>
        <v>3522541.8053747043</v>
      </c>
      <c r="M123" s="10">
        <f t="shared" si="30"/>
        <v>77655.338494465846</v>
      </c>
      <c r="N123" s="10">
        <f t="shared" si="43"/>
        <v>3444886.4668802386</v>
      </c>
      <c r="O123" s="7">
        <f t="shared" si="31"/>
        <v>13779.545867520956</v>
      </c>
      <c r="P123" s="10">
        <f t="shared" si="32"/>
        <v>3431106.9210127178</v>
      </c>
      <c r="U123">
        <v>23</v>
      </c>
      <c r="V123" s="10">
        <f t="shared" si="33"/>
        <v>78246.322805687101</v>
      </c>
      <c r="W123" s="10">
        <f t="shared" si="44"/>
        <v>77556.322805687101</v>
      </c>
      <c r="X123" s="10">
        <f t="shared" si="46"/>
        <v>3838213.0721828602</v>
      </c>
      <c r="Y123" s="73">
        <f t="shared" si="34"/>
        <v>191910.65360914302</v>
      </c>
      <c r="Z123" s="73">
        <f t="shared" si="35"/>
        <v>15255.000000000002</v>
      </c>
      <c r="AA123" s="74">
        <f t="shared" si="36"/>
        <v>56872.474515840062</v>
      </c>
      <c r="AB123" s="73">
        <f t="shared" si="37"/>
        <v>4341817.5584944496</v>
      </c>
      <c r="AC123" s="10">
        <f t="shared" si="47"/>
        <v>503604.48631158937</v>
      </c>
      <c r="AD123" s="10">
        <f>SUM($AC$101:AC123)</f>
        <v>3603993.9296103255</v>
      </c>
      <c r="AE123" s="73">
        <f t="shared" si="38"/>
        <v>26050.905350966699</v>
      </c>
      <c r="AF123" s="73">
        <f t="shared" si="39"/>
        <v>0</v>
      </c>
      <c r="AG123" s="74">
        <f t="shared" si="40"/>
        <v>1513677.4504363367</v>
      </c>
      <c r="AH123" s="10">
        <f t="shared" si="48"/>
        <v>2802089.2027071463</v>
      </c>
    </row>
    <row r="124" spans="7:34">
      <c r="G124">
        <v>24</v>
      </c>
      <c r="H124" s="10">
        <f t="shared" si="45"/>
        <v>0</v>
      </c>
      <c r="I124" s="10">
        <f>SUM($H$101:H124)+M124</f>
        <v>269225.98393014132</v>
      </c>
      <c r="J124" s="10">
        <f t="shared" si="41"/>
        <v>0</v>
      </c>
      <c r="K124" s="10">
        <f t="shared" si="42"/>
        <v>3522541.8053747043</v>
      </c>
      <c r="L124" s="10">
        <f t="shared" si="29"/>
        <v>4047400.5343755353</v>
      </c>
      <c r="M124" s="10">
        <f t="shared" si="30"/>
        <v>89225.983930141287</v>
      </c>
      <c r="N124" s="10">
        <f t="shared" si="43"/>
        <v>3958174.5504453941</v>
      </c>
      <c r="O124" s="7">
        <f t="shared" si="31"/>
        <v>15832.698201781579</v>
      </c>
      <c r="P124" s="10">
        <f t="shared" si="32"/>
        <v>3942341.8522436125</v>
      </c>
      <c r="U124">
        <v>24</v>
      </c>
      <c r="V124" s="10">
        <f t="shared" si="33"/>
        <v>89905.024903734447</v>
      </c>
      <c r="W124" s="10">
        <f t="shared" si="44"/>
        <v>89215.024903734447</v>
      </c>
      <c r="X124" s="10">
        <f t="shared" si="46"/>
        <v>4431032.5833981838</v>
      </c>
      <c r="Y124" s="73">
        <f t="shared" si="34"/>
        <v>221551.6291699092</v>
      </c>
      <c r="Z124" s="73">
        <f t="shared" si="35"/>
        <v>15255.000000000002</v>
      </c>
      <c r="AA124" s="74">
        <f t="shared" si="36"/>
        <v>69321.684251361861</v>
      </c>
      <c r="AB124" s="73">
        <f t="shared" si="37"/>
        <v>5011110.7866565501</v>
      </c>
      <c r="AC124" s="10">
        <f t="shared" si="47"/>
        <v>580078.20325836632</v>
      </c>
      <c r="AD124" s="10">
        <f>SUM($AC$101:AC124)</f>
        <v>4184072.1328686918</v>
      </c>
      <c r="AE124" s="73">
        <f t="shared" si="38"/>
        <v>30066.664719939301</v>
      </c>
      <c r="AF124" s="73">
        <f t="shared" si="39"/>
        <v>0</v>
      </c>
      <c r="AG124" s="74">
        <f t="shared" si="40"/>
        <v>1757310.2958048505</v>
      </c>
      <c r="AH124" s="10">
        <f t="shared" si="48"/>
        <v>3223733.8261317601</v>
      </c>
    </row>
    <row r="125" spans="7:34">
      <c r="G125">
        <v>25</v>
      </c>
      <c r="H125" s="10">
        <f t="shared" si="45"/>
        <v>0</v>
      </c>
      <c r="I125" s="10">
        <f>SUM($H$101:H125)+M125</f>
        <v>282520.65553573228</v>
      </c>
      <c r="J125" s="10">
        <f t="shared" si="41"/>
        <v>0</v>
      </c>
      <c r="K125" s="10">
        <f t="shared" si="42"/>
        <v>4047400.5343755353</v>
      </c>
      <c r="L125" s="10">
        <f t="shared" si="29"/>
        <v>4650463.2139974898</v>
      </c>
      <c r="M125" s="10">
        <f t="shared" si="30"/>
        <v>102520.65553573226</v>
      </c>
      <c r="N125" s="10">
        <f t="shared" si="43"/>
        <v>4547942.5584617574</v>
      </c>
      <c r="O125" s="7">
        <f t="shared" si="31"/>
        <v>18191.77023384703</v>
      </c>
      <c r="P125" s="10">
        <f t="shared" si="32"/>
        <v>4529750.7882279102</v>
      </c>
      <c r="U125">
        <v>25</v>
      </c>
      <c r="V125" s="10">
        <f t="shared" si="33"/>
        <v>103300.87361439095</v>
      </c>
      <c r="W125" s="10">
        <f t="shared" si="44"/>
        <v>102610.87361439095</v>
      </c>
      <c r="X125" s="10">
        <f t="shared" si="46"/>
        <v>5113721.6602709414</v>
      </c>
      <c r="Y125" s="73">
        <f t="shared" si="34"/>
        <v>255686.08301354709</v>
      </c>
      <c r="Z125" s="73">
        <f t="shared" si="35"/>
        <v>15255.000000000002</v>
      </c>
      <c r="AA125" s="74">
        <f t="shared" si="36"/>
        <v>83658.154865689779</v>
      </c>
      <c r="AB125" s="73">
        <f t="shared" si="37"/>
        <v>5781866.7544458928</v>
      </c>
      <c r="AC125" s="10">
        <f t="shared" si="47"/>
        <v>668145.09417495131</v>
      </c>
      <c r="AD125" s="10">
        <f>SUM($AC$101:AC125)</f>
        <v>4852217.2270436436</v>
      </c>
      <c r="AE125" s="73">
        <f t="shared" si="38"/>
        <v>34691.200526675355</v>
      </c>
      <c r="AF125" s="73">
        <f t="shared" si="39"/>
        <v>0</v>
      </c>
      <c r="AG125" s="74">
        <f t="shared" si="40"/>
        <v>2037931.2353583302</v>
      </c>
      <c r="AH125" s="10">
        <f t="shared" si="48"/>
        <v>3709244.3185608871</v>
      </c>
    </row>
    <row r="126" spans="7:34">
      <c r="G126">
        <v>26</v>
      </c>
      <c r="H126" s="10">
        <f t="shared" si="45"/>
        <v>0</v>
      </c>
      <c r="I126" s="10">
        <f>SUM($H$101:H126)+M126</f>
        <v>297796.2332105565</v>
      </c>
      <c r="J126" s="10">
        <f t="shared" si="41"/>
        <v>0</v>
      </c>
      <c r="K126" s="10">
        <f t="shared" si="42"/>
        <v>4650463.2139974898</v>
      </c>
      <c r="L126" s="10">
        <f t="shared" si="29"/>
        <v>5343382.2328831162</v>
      </c>
      <c r="M126" s="10">
        <f t="shared" si="30"/>
        <v>117796.2332105565</v>
      </c>
      <c r="N126" s="10">
        <f t="shared" si="43"/>
        <v>5225585.99967256</v>
      </c>
      <c r="O126" s="7">
        <f t="shared" si="31"/>
        <v>20902.343998690241</v>
      </c>
      <c r="P126" s="10">
        <f t="shared" si="32"/>
        <v>5204683.6556738699</v>
      </c>
      <c r="U126">
        <v>26</v>
      </c>
      <c r="V126" s="10">
        <f t="shared" si="33"/>
        <v>118692.70378293506</v>
      </c>
      <c r="W126" s="10">
        <f t="shared" si="44"/>
        <v>118002.70378293506</v>
      </c>
      <c r="X126" s="10">
        <f t="shared" si="46"/>
        <v>5899869.4582288275</v>
      </c>
      <c r="Y126" s="73">
        <f t="shared" si="34"/>
        <v>294993.47291144141</v>
      </c>
      <c r="Z126" s="73">
        <f t="shared" si="35"/>
        <v>15255.000000000002</v>
      </c>
      <c r="AA126" s="74">
        <f t="shared" si="36"/>
        <v>100167.25862280538</v>
      </c>
      <c r="AB126" s="73">
        <f t="shared" si="37"/>
        <v>6669427.618340347</v>
      </c>
      <c r="AC126" s="10">
        <f t="shared" si="47"/>
        <v>769558.16011151951</v>
      </c>
      <c r="AD126" s="10">
        <f>SUM($AC$101:AC126)</f>
        <v>5621775.3871551631</v>
      </c>
      <c r="AE126" s="73">
        <f t="shared" si="38"/>
        <v>40016.565710042087</v>
      </c>
      <c r="AF126" s="73">
        <f t="shared" si="39"/>
        <v>0</v>
      </c>
      <c r="AG126" s="74">
        <f t="shared" si="40"/>
        <v>2361145.6626051683</v>
      </c>
      <c r="AH126" s="10">
        <f t="shared" si="48"/>
        <v>4268265.390025137</v>
      </c>
    </row>
    <row r="127" spans="7:34">
      <c r="G127">
        <v>27</v>
      </c>
      <c r="H127" s="10">
        <f t="shared" si="45"/>
        <v>0</v>
      </c>
      <c r="I127" s="10">
        <f>SUM($H$101:H127)+M127</f>
        <v>315347.87195892946</v>
      </c>
      <c r="J127" s="10">
        <f t="shared" si="41"/>
        <v>0</v>
      </c>
      <c r="K127" s="10">
        <f t="shared" si="42"/>
        <v>5343382.2328831162</v>
      </c>
      <c r="L127" s="10">
        <f t="shared" si="29"/>
        <v>6139546.1855827011</v>
      </c>
      <c r="M127" s="10">
        <f t="shared" si="30"/>
        <v>135347.87195892943</v>
      </c>
      <c r="N127" s="10">
        <f t="shared" si="43"/>
        <v>6004198.313623772</v>
      </c>
      <c r="O127" s="7">
        <f t="shared" si="31"/>
        <v>24016.793254495089</v>
      </c>
      <c r="P127" s="10">
        <f t="shared" si="32"/>
        <v>5980181.5203692773</v>
      </c>
      <c r="U127">
        <v>27</v>
      </c>
      <c r="V127" s="10">
        <f t="shared" si="33"/>
        <v>136377.91664659244</v>
      </c>
      <c r="W127" s="10">
        <f t="shared" si="44"/>
        <v>135687.91664659244</v>
      </c>
      <c r="X127" s="10">
        <f t="shared" si="46"/>
        <v>6805115.5349869393</v>
      </c>
      <c r="Y127" s="73">
        <f t="shared" si="34"/>
        <v>340255.77674934699</v>
      </c>
      <c r="Z127" s="73">
        <f t="shared" si="35"/>
        <v>15255.000000000002</v>
      </c>
      <c r="AA127" s="74">
        <f t="shared" si="36"/>
        <v>119177.42623472573</v>
      </c>
      <c r="AB127" s="73">
        <f t="shared" si="37"/>
        <v>7691450.4390002554</v>
      </c>
      <c r="AC127" s="10">
        <f t="shared" si="47"/>
        <v>886334.90401331615</v>
      </c>
      <c r="AD127" s="10">
        <f>SUM($AC$101:AC127)</f>
        <v>6508110.2911684792</v>
      </c>
      <c r="AE127" s="73">
        <f t="shared" si="38"/>
        <v>46148.702634001536</v>
      </c>
      <c r="AF127" s="73">
        <f t="shared" si="39"/>
        <v>0</v>
      </c>
      <c r="AG127" s="74">
        <f t="shared" si="40"/>
        <v>2733406.3222907614</v>
      </c>
      <c r="AH127" s="10">
        <f t="shared" si="48"/>
        <v>4911895.4140754929</v>
      </c>
    </row>
    <row r="128" spans="7:34">
      <c r="G128">
        <v>28</v>
      </c>
      <c r="H128" s="10">
        <f t="shared" si="45"/>
        <v>0</v>
      </c>
      <c r="I128" s="10">
        <f>SUM($H$101:H128)+M128</f>
        <v>335514.70488080982</v>
      </c>
      <c r="J128" s="10">
        <f t="shared" si="41"/>
        <v>0</v>
      </c>
      <c r="K128" s="10">
        <f t="shared" si="42"/>
        <v>6139546.1855827011</v>
      </c>
      <c r="L128" s="10">
        <f t="shared" si="29"/>
        <v>7054338.5672345236</v>
      </c>
      <c r="M128" s="10">
        <f t="shared" si="30"/>
        <v>155514.70488080982</v>
      </c>
      <c r="N128" s="10">
        <f t="shared" si="43"/>
        <v>6898823.8623537142</v>
      </c>
      <c r="O128" s="7">
        <f t="shared" si="31"/>
        <v>27595.295449414858</v>
      </c>
      <c r="P128" s="10">
        <f t="shared" si="32"/>
        <v>6871228.566904299</v>
      </c>
      <c r="U128">
        <v>28</v>
      </c>
      <c r="V128" s="10">
        <f t="shared" si="33"/>
        <v>156698.2262269347</v>
      </c>
      <c r="W128" s="10">
        <f t="shared" si="44"/>
        <v>156008.2262269347</v>
      </c>
      <c r="X128" s="10">
        <f t="shared" si="46"/>
        <v>7847458.6652271897</v>
      </c>
      <c r="Y128" s="73">
        <f t="shared" si="34"/>
        <v>392372.93326135952</v>
      </c>
      <c r="Z128" s="73">
        <f t="shared" si="35"/>
        <v>15255.000000000002</v>
      </c>
      <c r="AA128" s="74">
        <f t="shared" si="36"/>
        <v>141066.631969771</v>
      </c>
      <c r="AB128" s="73">
        <f t="shared" si="37"/>
        <v>8868255.8330414984</v>
      </c>
      <c r="AC128" s="10">
        <f t="shared" si="47"/>
        <v>1020797.1678143088</v>
      </c>
      <c r="AD128" s="10">
        <f>SUM($AC$101:AC128)</f>
        <v>7528907.458982788</v>
      </c>
      <c r="AE128" s="73">
        <f t="shared" si="38"/>
        <v>53209.534998248993</v>
      </c>
      <c r="AF128" s="73">
        <f t="shared" si="39"/>
        <v>0</v>
      </c>
      <c r="AG128" s="74">
        <f t="shared" si="40"/>
        <v>3162141.1327727707</v>
      </c>
      <c r="AH128" s="10">
        <f t="shared" si="48"/>
        <v>5652905.1652704785</v>
      </c>
    </row>
    <row r="129" spans="7:34">
      <c r="G129">
        <v>29</v>
      </c>
      <c r="H129" s="10">
        <f t="shared" si="45"/>
        <v>0</v>
      </c>
      <c r="I129" s="10">
        <f>SUM($H$101:H129)+M129</f>
        <v>358686.39590805059</v>
      </c>
      <c r="J129" s="10">
        <f t="shared" si="41"/>
        <v>0</v>
      </c>
      <c r="K129" s="10">
        <f t="shared" si="42"/>
        <v>7054338.5672345236</v>
      </c>
      <c r="L129" s="10">
        <f t="shared" si="29"/>
        <v>8105435.0137524679</v>
      </c>
      <c r="M129" s="10">
        <f t="shared" si="30"/>
        <v>178686.39590805056</v>
      </c>
      <c r="N129" s="10">
        <f t="shared" si="43"/>
        <v>7926748.6178444177</v>
      </c>
      <c r="O129" s="7">
        <f t="shared" si="31"/>
        <v>31706.994471377671</v>
      </c>
      <c r="P129" s="10">
        <f t="shared" si="32"/>
        <v>7895041.62337304</v>
      </c>
      <c r="U129">
        <v>29</v>
      </c>
      <c r="V129" s="10">
        <f t="shared" si="33"/>
        <v>180046.26193474798</v>
      </c>
      <c r="W129" s="10">
        <f t="shared" si="44"/>
        <v>179356.26193474798</v>
      </c>
      <c r="X129" s="10">
        <f t="shared" si="46"/>
        <v>9047612.0949762464</v>
      </c>
      <c r="Y129" s="73">
        <f t="shared" si="34"/>
        <v>452380.60474881233</v>
      </c>
      <c r="Z129" s="73">
        <f t="shared" si="35"/>
        <v>15255.000000000002</v>
      </c>
      <c r="AA129" s="74">
        <f t="shared" si="36"/>
        <v>166269.85399450117</v>
      </c>
      <c r="AB129" s="73">
        <f t="shared" si="37"/>
        <v>10223229.055228183</v>
      </c>
      <c r="AC129" s="10">
        <f t="shared" si="47"/>
        <v>1175616.9602519367</v>
      </c>
      <c r="AD129" s="10">
        <f>SUM($AC$101:AC129)</f>
        <v>8704524.4192347247</v>
      </c>
      <c r="AE129" s="73">
        <f t="shared" si="38"/>
        <v>61339.374331369101</v>
      </c>
      <c r="AF129" s="73">
        <f t="shared" si="39"/>
        <v>0</v>
      </c>
      <c r="AG129" s="74">
        <f t="shared" si="40"/>
        <v>3655900.2560785841</v>
      </c>
      <c r="AH129" s="10">
        <f t="shared" si="48"/>
        <v>6505989.4248182289</v>
      </c>
    </row>
    <row r="130" spans="7:34">
      <c r="G130">
        <v>30</v>
      </c>
      <c r="H130" s="10">
        <f t="shared" si="45"/>
        <v>0</v>
      </c>
      <c r="I130" s="10">
        <f>SUM($H$101:H130)+M130</f>
        <v>385310.66889835004</v>
      </c>
      <c r="J130" s="10">
        <f t="shared" si="41"/>
        <v>0</v>
      </c>
      <c r="K130" s="10">
        <f t="shared" si="42"/>
        <v>8105435.0137524679</v>
      </c>
      <c r="L130" s="10">
        <f t="shared" si="29"/>
        <v>9313144.8308015857</v>
      </c>
      <c r="M130" s="10">
        <f t="shared" si="30"/>
        <v>205310.66889835004</v>
      </c>
      <c r="N130" s="10">
        <f t="shared" si="43"/>
        <v>9107834.1619032361</v>
      </c>
      <c r="O130" s="7">
        <f t="shared" si="31"/>
        <v>36431.336647612945</v>
      </c>
      <c r="P130" s="10">
        <f t="shared" si="32"/>
        <v>9071402.8252556231</v>
      </c>
      <c r="U130">
        <v>30</v>
      </c>
      <c r="V130" s="10">
        <f t="shared" si="33"/>
        <v>206873.15496302556</v>
      </c>
      <c r="W130" s="10">
        <f t="shared" si="44"/>
        <v>206183.15496302556</v>
      </c>
      <c r="X130" s="10">
        <f t="shared" si="46"/>
        <v>10429412.210191209</v>
      </c>
      <c r="Y130" s="73">
        <f t="shared" si="34"/>
        <v>521470.61050956044</v>
      </c>
      <c r="Z130" s="73">
        <f t="shared" si="35"/>
        <v>15255.000000000002</v>
      </c>
      <c r="AA130" s="74">
        <f t="shared" si="36"/>
        <v>195287.65641401539</v>
      </c>
      <c r="AB130" s="73">
        <f t="shared" si="37"/>
        <v>11783281.385305874</v>
      </c>
      <c r="AC130" s="10">
        <f t="shared" si="47"/>
        <v>1353869.1751146652</v>
      </c>
      <c r="AD130" s="10">
        <f>SUM($AC$101:AC130)</f>
        <v>10058393.59434939</v>
      </c>
      <c r="AE130" s="73">
        <f t="shared" si="38"/>
        <v>70699.688311835242</v>
      </c>
      <c r="AF130" s="73">
        <f t="shared" si="39"/>
        <v>0</v>
      </c>
      <c r="AG130" s="74">
        <f t="shared" si="40"/>
        <v>4224525.3096267432</v>
      </c>
      <c r="AH130" s="10">
        <f t="shared" si="48"/>
        <v>7488056.3873672951</v>
      </c>
    </row>
    <row r="131" spans="7:34">
      <c r="G131">
        <v>31</v>
      </c>
      <c r="H131" s="10">
        <f t="shared" si="45"/>
        <v>0</v>
      </c>
      <c r="I131" s="10">
        <f>SUM($H$101:H131)+M131</f>
        <v>415901.9585642044</v>
      </c>
      <c r="J131" s="10">
        <f t="shared" si="41"/>
        <v>0</v>
      </c>
      <c r="K131" s="10">
        <f t="shared" si="42"/>
        <v>9313144.8308015857</v>
      </c>
      <c r="L131" s="10">
        <f t="shared" si="29"/>
        <v>10700803.410591023</v>
      </c>
      <c r="M131" s="10">
        <f t="shared" si="30"/>
        <v>235901.95856420437</v>
      </c>
      <c r="N131" s="10">
        <f t="shared" si="43"/>
        <v>10464901.452026818</v>
      </c>
      <c r="O131" s="7">
        <f t="shared" si="31"/>
        <v>41859.605808107277</v>
      </c>
      <c r="P131" s="10">
        <f t="shared" si="32"/>
        <v>10423041.846218711</v>
      </c>
      <c r="U131">
        <v>31</v>
      </c>
      <c r="V131" s="10">
        <f t="shared" si="33"/>
        <v>237697.25505251615</v>
      </c>
      <c r="W131" s="10">
        <f t="shared" si="44"/>
        <v>237007.25505251615</v>
      </c>
      <c r="X131" s="10">
        <f t="shared" si="46"/>
        <v>12020288.64035839</v>
      </c>
      <c r="Y131" s="73">
        <f t="shared" si="34"/>
        <v>601014.43201791949</v>
      </c>
      <c r="Z131" s="73">
        <f t="shared" si="35"/>
        <v>15255.000000000002</v>
      </c>
      <c r="AA131" s="74">
        <f t="shared" si="36"/>
        <v>228696.06144752618</v>
      </c>
      <c r="AB131" s="73">
        <f t="shared" si="37"/>
        <v>13579380.874964623</v>
      </c>
      <c r="AC131" s="10">
        <f t="shared" si="47"/>
        <v>1559092.2346062325</v>
      </c>
      <c r="AD131" s="10">
        <f>SUM($AC$101:AC131)</f>
        <v>11617485.828955622</v>
      </c>
      <c r="AE131" s="73">
        <f t="shared" si="38"/>
        <v>81476.285249787747</v>
      </c>
      <c r="AF131" s="73">
        <f t="shared" si="39"/>
        <v>0</v>
      </c>
      <c r="AG131" s="74">
        <f t="shared" si="40"/>
        <v>4879344.0481613614</v>
      </c>
      <c r="AH131" s="10">
        <f t="shared" si="48"/>
        <v>8618560.5415534731</v>
      </c>
    </row>
    <row r="132" spans="7:34">
      <c r="G132">
        <v>32</v>
      </c>
      <c r="H132" s="10">
        <f t="shared" si="45"/>
        <v>0</v>
      </c>
      <c r="I132" s="10">
        <f>SUM($H$101:H132)+M132</f>
        <v>451051.35039027059</v>
      </c>
      <c r="J132" s="10">
        <f t="shared" si="41"/>
        <v>0</v>
      </c>
      <c r="K132" s="10">
        <f t="shared" si="42"/>
        <v>10700803.410591023</v>
      </c>
      <c r="L132" s="10">
        <f t="shared" si="29"/>
        <v>12295223.118769085</v>
      </c>
      <c r="M132" s="10">
        <f t="shared" si="30"/>
        <v>271051.35039027059</v>
      </c>
      <c r="N132" s="10">
        <f t="shared" si="43"/>
        <v>12024171.768378815</v>
      </c>
      <c r="O132" s="7">
        <f t="shared" si="31"/>
        <v>48096.687073515262</v>
      </c>
      <c r="P132" s="10">
        <f t="shared" si="32"/>
        <v>11976075.081305299</v>
      </c>
      <c r="U132">
        <v>32</v>
      </c>
      <c r="V132" s="10">
        <f t="shared" si="33"/>
        <v>273114.14605534135</v>
      </c>
      <c r="W132" s="10">
        <f t="shared" si="44"/>
        <v>272424.14605534135</v>
      </c>
      <c r="X132" s="10">
        <f t="shared" si="46"/>
        <v>13851805.021019964</v>
      </c>
      <c r="Y132" s="73">
        <f t="shared" si="34"/>
        <v>692590.25105099822</v>
      </c>
      <c r="Z132" s="73">
        <f t="shared" si="35"/>
        <v>15255.000000000002</v>
      </c>
      <c r="AA132" s="74">
        <f t="shared" si="36"/>
        <v>267157.90544141922</v>
      </c>
      <c r="AB132" s="73">
        <f t="shared" si="37"/>
        <v>15647162.86873154</v>
      </c>
      <c r="AC132" s="10">
        <f t="shared" si="47"/>
        <v>1795357.8477115761</v>
      </c>
      <c r="AD132" s="10">
        <f>SUM($AC$101:AC132)</f>
        <v>13412843.676667199</v>
      </c>
      <c r="AE132" s="73">
        <f t="shared" si="38"/>
        <v>93882.977212389233</v>
      </c>
      <c r="AF132" s="73">
        <f t="shared" si="39"/>
        <v>0</v>
      </c>
      <c r="AG132" s="74">
        <f t="shared" si="40"/>
        <v>5633394.3442002228</v>
      </c>
      <c r="AH132" s="10">
        <f t="shared" si="48"/>
        <v>9919885.5473189279</v>
      </c>
    </row>
    <row r="133" spans="7:34">
      <c r="G133">
        <v>33</v>
      </c>
      <c r="H133" s="10">
        <f t="shared" si="45"/>
        <v>0</v>
      </c>
      <c r="I133" s="10">
        <f>SUM($H$101:H133)+M133</f>
        <v>491438.00159842113</v>
      </c>
      <c r="J133" s="10">
        <f t="shared" si="41"/>
        <v>0</v>
      </c>
      <c r="K133" s="10">
        <f t="shared" si="42"/>
        <v>12295223.118769085</v>
      </c>
      <c r="L133" s="10">
        <f t="shared" si="29"/>
        <v>14127211.36346568</v>
      </c>
      <c r="M133" s="10">
        <f t="shared" si="30"/>
        <v>311438.00159842113</v>
      </c>
      <c r="N133" s="10">
        <f t="shared" si="43"/>
        <v>13815773.361867258</v>
      </c>
      <c r="O133" s="7">
        <f t="shared" si="31"/>
        <v>55263.093447469037</v>
      </c>
      <c r="P133" s="10">
        <f t="shared" si="32"/>
        <v>13760510.268419789</v>
      </c>
      <c r="U133">
        <v>33</v>
      </c>
      <c r="V133" s="10">
        <f t="shared" si="33"/>
        <v>313808.15381758695</v>
      </c>
      <c r="W133" s="10">
        <f t="shared" si="44"/>
        <v>313118.15381758695</v>
      </c>
      <c r="X133" s="10">
        <f t="shared" si="46"/>
        <v>15960281.022549126</v>
      </c>
      <c r="Y133" s="73">
        <f t="shared" si="34"/>
        <v>798014.05112745636</v>
      </c>
      <c r="Z133" s="73">
        <f t="shared" si="35"/>
        <v>15255.000000000002</v>
      </c>
      <c r="AA133" s="74">
        <f t="shared" si="36"/>
        <v>311435.90147353167</v>
      </c>
      <c r="AB133" s="73">
        <f t="shared" si="37"/>
        <v>18027632.274457965</v>
      </c>
      <c r="AC133" s="10">
        <f t="shared" si="47"/>
        <v>2067351.2519088387</v>
      </c>
      <c r="AD133" s="10">
        <f>SUM($AC$101:AC133)</f>
        <v>15480194.928576037</v>
      </c>
      <c r="AE133" s="73">
        <f t="shared" si="38"/>
        <v>108165.7936467478</v>
      </c>
      <c r="AF133" s="73">
        <f t="shared" si="39"/>
        <v>0</v>
      </c>
      <c r="AG133" s="74">
        <f t="shared" si="40"/>
        <v>6501681.8700019354</v>
      </c>
      <c r="AH133" s="10">
        <f t="shared" si="48"/>
        <v>11417784.610809281</v>
      </c>
    </row>
    <row r="134" spans="7:34">
      <c r="G134">
        <v>34</v>
      </c>
      <c r="H134" s="10">
        <f t="shared" si="45"/>
        <v>0</v>
      </c>
      <c r="I134" s="10">
        <f>SUM($H$101:H134)+M134</f>
        <v>537842.26383658568</v>
      </c>
      <c r="J134" s="10">
        <f t="shared" si="41"/>
        <v>0</v>
      </c>
      <c r="K134" s="10">
        <f t="shared" si="42"/>
        <v>14127211.36346568</v>
      </c>
      <c r="L134" s="10">
        <f t="shared" si="29"/>
        <v>16232165.856622066</v>
      </c>
      <c r="M134" s="10">
        <f t="shared" si="30"/>
        <v>357842.26383658574</v>
      </c>
      <c r="N134" s="10">
        <f t="shared" si="43"/>
        <v>15874323.592785481</v>
      </c>
      <c r="O134" s="7">
        <f t="shared" si="31"/>
        <v>63497.294371141921</v>
      </c>
      <c r="P134" s="10">
        <f t="shared" si="32"/>
        <v>15810826.29841434</v>
      </c>
      <c r="U134">
        <v>34</v>
      </c>
      <c r="V134" s="10">
        <f t="shared" si="33"/>
        <v>360565.56873640756</v>
      </c>
      <c r="W134" s="10">
        <f t="shared" si="44"/>
        <v>359875.56873640756</v>
      </c>
      <c r="X134" s="10">
        <f t="shared" si="46"/>
        <v>18387507.843194373</v>
      </c>
      <c r="Y134" s="73">
        <f t="shared" si="34"/>
        <v>919375.39215971867</v>
      </c>
      <c r="Z134" s="73">
        <f t="shared" si="35"/>
        <v>15255.000000000002</v>
      </c>
      <c r="AA134" s="74">
        <f t="shared" si="36"/>
        <v>362407.6647070818</v>
      </c>
      <c r="AB134" s="73">
        <f t="shared" si="37"/>
        <v>20767971.354966447</v>
      </c>
      <c r="AC134" s="10">
        <f t="shared" si="47"/>
        <v>2380463.5117720738</v>
      </c>
      <c r="AD134" s="10">
        <f>SUM($AC$101:AC134)</f>
        <v>17860658.440348111</v>
      </c>
      <c r="AE134" s="73">
        <f t="shared" si="38"/>
        <v>124607.82812979868</v>
      </c>
      <c r="AF134" s="73">
        <f t="shared" si="39"/>
        <v>0</v>
      </c>
      <c r="AG134" s="74">
        <f t="shared" si="40"/>
        <v>7501476.5449462067</v>
      </c>
      <c r="AH134" s="10">
        <f t="shared" si="48"/>
        <v>13141886.981890442</v>
      </c>
    </row>
    <row r="135" spans="7:34">
      <c r="G135">
        <v>35</v>
      </c>
      <c r="H135" s="10">
        <f t="shared" si="45"/>
        <v>0</v>
      </c>
      <c r="I135" s="10">
        <f>SUM($H$101:H135)+M135</f>
        <v>591160.76114823681</v>
      </c>
      <c r="J135" s="10">
        <f t="shared" si="41"/>
        <v>0</v>
      </c>
      <c r="K135" s="10">
        <f t="shared" si="42"/>
        <v>16232165.856622066</v>
      </c>
      <c r="L135" s="10">
        <f t="shared" si="29"/>
        <v>18650758.569258753</v>
      </c>
      <c r="M135" s="10">
        <f t="shared" si="30"/>
        <v>411160.76114823681</v>
      </c>
      <c r="N135" s="10">
        <f t="shared" si="43"/>
        <v>18239597.808110517</v>
      </c>
      <c r="O135" s="7">
        <f t="shared" si="31"/>
        <v>72958.391232442067</v>
      </c>
      <c r="P135" s="10">
        <f t="shared" si="32"/>
        <v>18166639.416878074</v>
      </c>
      <c r="U135">
        <v>35</v>
      </c>
      <c r="V135" s="10">
        <f t="shared" si="33"/>
        <v>414289.83847813203</v>
      </c>
      <c r="W135" s="10">
        <f t="shared" si="44"/>
        <v>413599.83847813203</v>
      </c>
      <c r="X135" s="10">
        <f t="shared" si="46"/>
        <v>21181571.19344458</v>
      </c>
      <c r="Y135" s="73">
        <f t="shared" si="34"/>
        <v>1059078.559672229</v>
      </c>
      <c r="Z135" s="73">
        <f t="shared" si="35"/>
        <v>15255.000000000002</v>
      </c>
      <c r="AA135" s="74">
        <f t="shared" si="36"/>
        <v>421082.99506233615</v>
      </c>
      <c r="AB135" s="73">
        <f t="shared" si="37"/>
        <v>23922468.877398934</v>
      </c>
      <c r="AC135" s="10">
        <f t="shared" si="47"/>
        <v>2740897.6839543544</v>
      </c>
      <c r="AD135" s="10">
        <f>SUM($AC$101:AC135)</f>
        <v>20601556.124302465</v>
      </c>
      <c r="AE135" s="73">
        <f t="shared" si="38"/>
        <v>143534.81326439363</v>
      </c>
      <c r="AF135" s="73">
        <f t="shared" si="39"/>
        <v>0</v>
      </c>
      <c r="AG135" s="74">
        <f t="shared" si="40"/>
        <v>8652653.5722070355</v>
      </c>
      <c r="AH135" s="10">
        <f t="shared" si="48"/>
        <v>15126280.491927506</v>
      </c>
    </row>
    <row r="136" spans="7:34">
      <c r="G136">
        <v>36</v>
      </c>
      <c r="H136" s="10">
        <f t="shared" si="45"/>
        <v>0</v>
      </c>
      <c r="I136" s="10">
        <f>SUM($H$101:H136)+M136</f>
        <v>652423.71455932409</v>
      </c>
      <c r="J136" s="10">
        <f t="shared" si="41"/>
        <v>0</v>
      </c>
      <c r="K136" s="10">
        <f t="shared" si="42"/>
        <v>18650758.569258753</v>
      </c>
      <c r="L136" s="10">
        <f t="shared" si="29"/>
        <v>21429721.596078306</v>
      </c>
      <c r="M136" s="10">
        <f t="shared" si="30"/>
        <v>472423.71455932409</v>
      </c>
      <c r="N136" s="10">
        <f t="shared" si="43"/>
        <v>20957297.881518982</v>
      </c>
      <c r="O136" s="7">
        <f t="shared" si="31"/>
        <v>83829.191526075927</v>
      </c>
      <c r="P136" s="10">
        <f t="shared" si="32"/>
        <v>20873468.689992905</v>
      </c>
      <c r="U136">
        <v>36</v>
      </c>
      <c r="V136" s="10">
        <f t="shared" si="33"/>
        <v>476019.02441137389</v>
      </c>
      <c r="W136" s="10">
        <f t="shared" si="44"/>
        <v>475329.02441137389</v>
      </c>
      <c r="X136" s="10">
        <f t="shared" si="46"/>
        <v>24397797.901810307</v>
      </c>
      <c r="Y136" s="73">
        <f t="shared" si="34"/>
        <v>1219889.8950905155</v>
      </c>
      <c r="Z136" s="73">
        <f t="shared" si="35"/>
        <v>15255.000000000002</v>
      </c>
      <c r="AA136" s="74">
        <f t="shared" si="36"/>
        <v>488623.75593801646</v>
      </c>
      <c r="AB136" s="73">
        <f t="shared" si="37"/>
        <v>27553588.831143841</v>
      </c>
      <c r="AC136" s="10">
        <f t="shared" si="47"/>
        <v>3155790.9293335341</v>
      </c>
      <c r="AD136" s="10">
        <f>SUM($AC$101:AC136)</f>
        <v>23757347.053636</v>
      </c>
      <c r="AE136" s="73">
        <f t="shared" si="38"/>
        <v>165321.53298686305</v>
      </c>
      <c r="AF136" s="73">
        <f t="shared" si="39"/>
        <v>0</v>
      </c>
      <c r="AG136" s="74">
        <f t="shared" si="40"/>
        <v>9978085.7625271194</v>
      </c>
      <c r="AH136" s="10">
        <f t="shared" si="48"/>
        <v>17410181.535629857</v>
      </c>
    </row>
    <row r="137" spans="7:34">
      <c r="G137">
        <v>37</v>
      </c>
      <c r="H137" s="10">
        <f t="shared" si="45"/>
        <v>0</v>
      </c>
      <c r="I137" s="10">
        <f>SUM($H$101:H137)+M137</f>
        <v>722814.84802866366</v>
      </c>
      <c r="J137" s="10">
        <f t="shared" si="41"/>
        <v>0</v>
      </c>
      <c r="K137" s="10">
        <f t="shared" si="42"/>
        <v>21429721.596078306</v>
      </c>
      <c r="L137" s="10">
        <f t="shared" si="29"/>
        <v>24622750.113893975</v>
      </c>
      <c r="M137" s="10">
        <f t="shared" si="30"/>
        <v>542814.84802866366</v>
      </c>
      <c r="N137" s="10">
        <f t="shared" si="43"/>
        <v>24079935.265865311</v>
      </c>
      <c r="O137" s="7">
        <f t="shared" si="31"/>
        <v>96319.741063461246</v>
      </c>
      <c r="P137" s="10">
        <f t="shared" si="32"/>
        <v>23983615.52480185</v>
      </c>
      <c r="U137">
        <v>37</v>
      </c>
      <c r="V137" s="10">
        <f t="shared" si="33"/>
        <v>546945.85904866888</v>
      </c>
      <c r="W137" s="10">
        <f t="shared" si="44"/>
        <v>546255.85904866888</v>
      </c>
      <c r="X137" s="10">
        <f t="shared" si="46"/>
        <v>28099844.690192509</v>
      </c>
      <c r="Y137" s="73">
        <f t="shared" si="34"/>
        <v>1404992.2345096255</v>
      </c>
      <c r="Z137" s="73">
        <f t="shared" si="35"/>
        <v>15255.000000000002</v>
      </c>
      <c r="AA137" s="74">
        <f t="shared" si="36"/>
        <v>566366.73849404266</v>
      </c>
      <c r="AB137" s="73">
        <f t="shared" si="37"/>
        <v>31733199.655227344</v>
      </c>
      <c r="AC137" s="10">
        <f t="shared" si="47"/>
        <v>3633354.965034835</v>
      </c>
      <c r="AD137" s="10">
        <f>SUM($AC$101:AC137)</f>
        <v>27390702.018670835</v>
      </c>
      <c r="AE137" s="73">
        <f t="shared" si="38"/>
        <v>190399.19793136406</v>
      </c>
      <c r="AF137" s="73">
        <f t="shared" si="39"/>
        <v>0</v>
      </c>
      <c r="AG137" s="74">
        <f t="shared" si="40"/>
        <v>11504094.847841751</v>
      </c>
      <c r="AH137" s="10">
        <f t="shared" si="48"/>
        <v>20038705.609454229</v>
      </c>
    </row>
    <row r="138" spans="7:34">
      <c r="G138">
        <v>38</v>
      </c>
      <c r="H138" s="10">
        <f t="shared" si="45"/>
        <v>0</v>
      </c>
      <c r="I138" s="10">
        <f>SUM($H$101:H138)+M138</f>
        <v>803694.26038493449</v>
      </c>
      <c r="J138" s="10">
        <f t="shared" si="41"/>
        <v>0</v>
      </c>
      <c r="K138" s="10">
        <f t="shared" si="42"/>
        <v>24622750.113893975</v>
      </c>
      <c r="L138" s="10">
        <f t="shared" si="29"/>
        <v>28291539.880864177</v>
      </c>
      <c r="M138" s="10">
        <f t="shared" si="30"/>
        <v>623694.26038493449</v>
      </c>
      <c r="N138" s="10">
        <f t="shared" si="43"/>
        <v>27667845.620479241</v>
      </c>
      <c r="O138" s="7">
        <f t="shared" si="31"/>
        <v>110671.38248191697</v>
      </c>
      <c r="P138" s="10">
        <f t="shared" si="32"/>
        <v>27557174.237997323</v>
      </c>
      <c r="U138">
        <v>38</v>
      </c>
      <c r="V138" s="10">
        <f t="shared" si="33"/>
        <v>628440.79204692016</v>
      </c>
      <c r="W138" s="10">
        <f t="shared" si="44"/>
        <v>627750.79204692016</v>
      </c>
      <c r="X138" s="10">
        <f t="shared" si="46"/>
        <v>32360950.447274264</v>
      </c>
      <c r="Y138" s="73">
        <f t="shared" si="34"/>
        <v>1618047.5223637132</v>
      </c>
      <c r="Z138" s="73">
        <f t="shared" si="35"/>
        <v>15255.000000000002</v>
      </c>
      <c r="AA138" s="74">
        <f t="shared" si="36"/>
        <v>655849.95939275948</v>
      </c>
      <c r="AB138" s="73">
        <f t="shared" si="37"/>
        <v>36543988.054972641</v>
      </c>
      <c r="AC138" s="10">
        <f t="shared" si="47"/>
        <v>4183037.6076983772</v>
      </c>
      <c r="AD138" s="10">
        <f>SUM($AC$101:AC138)</f>
        <v>31573739.626369212</v>
      </c>
      <c r="AE138" s="73">
        <f t="shared" si="38"/>
        <v>219263.92832983585</v>
      </c>
      <c r="AF138" s="73">
        <f t="shared" si="39"/>
        <v>0</v>
      </c>
      <c r="AG138" s="74">
        <f t="shared" si="40"/>
        <v>13260970.643075068</v>
      </c>
      <c r="AH138" s="10">
        <f t="shared" si="48"/>
        <v>23063753.483567741</v>
      </c>
    </row>
    <row r="139" spans="7:34">
      <c r="G139">
        <v>39</v>
      </c>
      <c r="H139" s="10">
        <f t="shared" si="45"/>
        <v>0</v>
      </c>
      <c r="I139" s="10">
        <f>SUM($H$101:H139)+M139</f>
        <v>896624.70518228959</v>
      </c>
      <c r="J139" s="10">
        <f t="shared" si="41"/>
        <v>0</v>
      </c>
      <c r="K139" s="10">
        <f t="shared" si="42"/>
        <v>28291539.880864177</v>
      </c>
      <c r="L139" s="10">
        <f t="shared" si="29"/>
        <v>32506979.323112939</v>
      </c>
      <c r="M139" s="10">
        <f t="shared" si="30"/>
        <v>716624.70518228959</v>
      </c>
      <c r="N139" s="10">
        <f t="shared" si="43"/>
        <v>31790354.617930651</v>
      </c>
      <c r="O139" s="7">
        <f t="shared" si="31"/>
        <v>127161.4184717226</v>
      </c>
      <c r="P139" s="10">
        <f t="shared" si="32"/>
        <v>31663193.199458927</v>
      </c>
      <c r="U139">
        <v>39</v>
      </c>
      <c r="V139" s="10">
        <f t="shared" si="33"/>
        <v>722078.47006191162</v>
      </c>
      <c r="W139" s="10">
        <f t="shared" si="44"/>
        <v>721388.47006191162</v>
      </c>
      <c r="X139" s="10">
        <f t="shared" si="46"/>
        <v>37265376.525034554</v>
      </c>
      <c r="Y139" s="73">
        <f t="shared" si="34"/>
        <v>1863268.8262517278</v>
      </c>
      <c r="Z139" s="73">
        <f t="shared" si="35"/>
        <v>15255.000000000002</v>
      </c>
      <c r="AA139" s="74">
        <f t="shared" si="36"/>
        <v>758842.90702572558</v>
      </c>
      <c r="AB139" s="73">
        <f t="shared" si="37"/>
        <v>42081085.096764021</v>
      </c>
      <c r="AC139" s="10">
        <f t="shared" si="47"/>
        <v>4815708.5717294663</v>
      </c>
      <c r="AD139" s="10">
        <f>SUM($AC$101:AC139)</f>
        <v>36389448.198098674</v>
      </c>
      <c r="AE139" s="73">
        <f t="shared" si="38"/>
        <v>252486.51058058414</v>
      </c>
      <c r="AF139" s="73">
        <f t="shared" si="39"/>
        <v>0</v>
      </c>
      <c r="AG139" s="74">
        <f t="shared" si="40"/>
        <v>15283568.243201442</v>
      </c>
      <c r="AH139" s="10">
        <f t="shared" si="48"/>
        <v>26545030.342981994</v>
      </c>
    </row>
    <row r="140" spans="7:34">
      <c r="G140">
        <v>40</v>
      </c>
      <c r="H140" s="10">
        <f t="shared" si="45"/>
        <v>0</v>
      </c>
      <c r="I140" s="10">
        <f>SUM($H$101:H140)+M140</f>
        <v>1003401.786254451</v>
      </c>
      <c r="J140" s="10">
        <f t="shared" si="41"/>
        <v>0</v>
      </c>
      <c r="K140" s="10">
        <f t="shared" si="42"/>
        <v>32506979.323112939</v>
      </c>
      <c r="L140" s="10">
        <f t="shared" si="29"/>
        <v>37350519.242256768</v>
      </c>
      <c r="M140" s="10">
        <f t="shared" si="30"/>
        <v>823401.78625445103</v>
      </c>
      <c r="N140" s="10">
        <f t="shared" si="43"/>
        <v>36527117.456002317</v>
      </c>
      <c r="O140" s="7">
        <f t="shared" si="31"/>
        <v>146108.46982400928</v>
      </c>
      <c r="P140" s="10">
        <f t="shared" si="32"/>
        <v>36381008.986178309</v>
      </c>
      <c r="U140">
        <v>40</v>
      </c>
      <c r="V140" s="10">
        <f t="shared" si="33"/>
        <v>829668.16210113652</v>
      </c>
      <c r="W140" s="10">
        <f t="shared" si="44"/>
        <v>828978.16210113652</v>
      </c>
      <c r="X140" s="10">
        <f t="shared" si="46"/>
        <v>42910063.258865155</v>
      </c>
      <c r="Y140" s="73">
        <f t="shared" si="34"/>
        <v>2145503.162943258</v>
      </c>
      <c r="Z140" s="73">
        <f t="shared" si="35"/>
        <v>15255.000000000002</v>
      </c>
      <c r="AA140" s="74">
        <f t="shared" si="36"/>
        <v>877381.32843616826</v>
      </c>
      <c r="AB140" s="73">
        <f t="shared" si="37"/>
        <v>48453936.419258766</v>
      </c>
      <c r="AC140" s="10">
        <f t="shared" si="47"/>
        <v>5543873.1603936106</v>
      </c>
      <c r="AD140" s="10">
        <f>SUM($AC$101:AC140)</f>
        <v>41933321.358492285</v>
      </c>
      <c r="AE140" s="73">
        <f t="shared" si="38"/>
        <v>290723.6185155526</v>
      </c>
      <c r="AF140" s="73">
        <f t="shared" si="39"/>
        <v>0</v>
      </c>
      <c r="AG140" s="74">
        <f t="shared" si="40"/>
        <v>17611994.970566761</v>
      </c>
      <c r="AH140" s="10">
        <f t="shared" si="48"/>
        <v>30551217.830176454</v>
      </c>
    </row>
    <row r="141" spans="7:34">
      <c r="G141">
        <v>41</v>
      </c>
      <c r="H141" s="10">
        <f t="shared" si="45"/>
        <v>0</v>
      </c>
      <c r="I141" s="10">
        <f>SUM($H$101:H141)+M141</f>
        <v>1126088.6524063642</v>
      </c>
      <c r="J141" s="10">
        <f t="shared" si="41"/>
        <v>0</v>
      </c>
      <c r="K141" s="10">
        <f t="shared" si="42"/>
        <v>37350519.242256768</v>
      </c>
      <c r="L141" s="10">
        <f t="shared" si="29"/>
        <v>42915746.609353028</v>
      </c>
      <c r="M141" s="10">
        <f t="shared" si="30"/>
        <v>946088.65240636433</v>
      </c>
      <c r="N141" s="10">
        <f t="shared" si="43"/>
        <v>41969657.956946664</v>
      </c>
      <c r="O141" s="7">
        <f t="shared" si="31"/>
        <v>167878.63182778665</v>
      </c>
      <c r="P141" s="10">
        <f t="shared" si="32"/>
        <v>41801779.325118877</v>
      </c>
      <c r="U141">
        <v>41</v>
      </c>
      <c r="V141" s="10">
        <f t="shared" si="33"/>
        <v>953288.71825420577</v>
      </c>
      <c r="W141" s="10">
        <f t="shared" si="44"/>
        <v>952598.71825420577</v>
      </c>
      <c r="X141" s="10">
        <f t="shared" si="46"/>
        <v>49406535.137512974</v>
      </c>
      <c r="Y141" s="73">
        <f t="shared" si="34"/>
        <v>2470326.7568756486</v>
      </c>
      <c r="Z141" s="73">
        <f t="shared" si="35"/>
        <v>15255.000000000002</v>
      </c>
      <c r="AA141" s="74">
        <f t="shared" si="36"/>
        <v>1013807.2378877724</v>
      </c>
      <c r="AB141" s="73">
        <f t="shared" si="37"/>
        <v>55788453.170252152</v>
      </c>
      <c r="AC141" s="10">
        <f t="shared" si="47"/>
        <v>6381918.0327391773</v>
      </c>
      <c r="AD141" s="10">
        <f>SUM($AC$101:AC141)</f>
        <v>48315239.391231462</v>
      </c>
      <c r="AE141" s="73">
        <f t="shared" si="38"/>
        <v>334730.71902151289</v>
      </c>
      <c r="AF141" s="73">
        <f t="shared" si="39"/>
        <v>0</v>
      </c>
      <c r="AG141" s="74">
        <f t="shared" si="40"/>
        <v>20292400.544317212</v>
      </c>
      <c r="AH141" s="10">
        <f t="shared" si="48"/>
        <v>35161321.906913429</v>
      </c>
    </row>
    <row r="142" spans="7:34">
      <c r="G142">
        <v>42</v>
      </c>
      <c r="H142" s="10">
        <f t="shared" si="45"/>
        <v>0</v>
      </c>
      <c r="I142" s="10">
        <f>SUM($H$101:H142)+M142</f>
        <v>1267055.8616149123</v>
      </c>
      <c r="J142" s="10">
        <f t="shared" si="41"/>
        <v>0</v>
      </c>
      <c r="K142" s="10">
        <f t="shared" si="42"/>
        <v>42915746.609353028</v>
      </c>
      <c r="L142" s="10">
        <f t="shared" si="29"/>
        <v>49310192.85414663</v>
      </c>
      <c r="M142" s="10">
        <f t="shared" si="30"/>
        <v>1087055.8616149123</v>
      </c>
      <c r="N142" s="10">
        <f t="shared" si="43"/>
        <v>48223136.992531717</v>
      </c>
      <c r="O142" s="7">
        <f t="shared" si="31"/>
        <v>192892.54797012688</v>
      </c>
      <c r="P142" s="10">
        <f t="shared" si="32"/>
        <v>48030244.444561593</v>
      </c>
      <c r="U142">
        <v>42</v>
      </c>
      <c r="V142" s="10">
        <f t="shared" si="33"/>
        <v>1095328.7372740821</v>
      </c>
      <c r="W142" s="10">
        <f t="shared" si="44"/>
        <v>1094638.7372740821</v>
      </c>
      <c r="X142" s="10">
        <f t="shared" si="46"/>
        <v>56883091.907526232</v>
      </c>
      <c r="Y142" s="73">
        <f t="shared" si="34"/>
        <v>2844154.5953763118</v>
      </c>
      <c r="Z142" s="73">
        <f t="shared" si="35"/>
        <v>15255.000000000002</v>
      </c>
      <c r="AA142" s="74">
        <f t="shared" si="36"/>
        <v>1170814.9300580509</v>
      </c>
      <c r="AB142" s="73">
        <f t="shared" si="37"/>
        <v>64229485.763597116</v>
      </c>
      <c r="AC142" s="10">
        <f t="shared" si="47"/>
        <v>7346393.8560708836</v>
      </c>
      <c r="AD142" s="10">
        <f>SUM($AC$101:AC142)</f>
        <v>55661633.247302346</v>
      </c>
      <c r="AE142" s="73">
        <f t="shared" si="38"/>
        <v>385376.91458158271</v>
      </c>
      <c r="AF142" s="73">
        <f t="shared" si="39"/>
        <v>0</v>
      </c>
      <c r="AG142" s="74">
        <f t="shared" si="40"/>
        <v>23377885.963866983</v>
      </c>
      <c r="AH142" s="10">
        <f t="shared" si="48"/>
        <v>40466222.885148555</v>
      </c>
    </row>
    <row r="143" spans="7:34">
      <c r="G143">
        <v>43</v>
      </c>
      <c r="H143" s="10">
        <f t="shared" si="45"/>
        <v>0</v>
      </c>
      <c r="I143" s="10">
        <f>SUM($H$101:H143)+M143</f>
        <v>1429027.1849955341</v>
      </c>
      <c r="J143" s="10">
        <f t="shared" si="41"/>
        <v>0</v>
      </c>
      <c r="K143" s="10">
        <f t="shared" si="42"/>
        <v>49310192.85414663</v>
      </c>
      <c r="L143" s="10">
        <f t="shared" si="29"/>
        <v>56657411.589414477</v>
      </c>
      <c r="M143" s="10">
        <f t="shared" si="30"/>
        <v>1249027.1849955341</v>
      </c>
      <c r="N143" s="10">
        <f t="shared" si="43"/>
        <v>55408384.404418945</v>
      </c>
      <c r="O143" s="7">
        <f t="shared" si="31"/>
        <v>221633.53761767579</v>
      </c>
      <c r="P143" s="10">
        <f t="shared" si="32"/>
        <v>55186750.866801269</v>
      </c>
      <c r="U143">
        <v>43</v>
      </c>
      <c r="V143" s="10">
        <f t="shared" si="33"/>
        <v>1258532.71912792</v>
      </c>
      <c r="W143" s="10">
        <f t="shared" si="44"/>
        <v>1257842.71912792</v>
      </c>
      <c r="X143" s="10">
        <f t="shared" si="46"/>
        <v>65487328.482725039</v>
      </c>
      <c r="Y143" s="73">
        <f t="shared" si="34"/>
        <v>3274366.4241362521</v>
      </c>
      <c r="Z143" s="73">
        <f t="shared" si="35"/>
        <v>15255.000000000002</v>
      </c>
      <c r="AA143" s="74">
        <f t="shared" si="36"/>
        <v>1351503.8981372258</v>
      </c>
      <c r="AB143" s="73">
        <f t="shared" si="37"/>
        <v>73943668.856996566</v>
      </c>
      <c r="AC143" s="10">
        <f t="shared" si="47"/>
        <v>8456340.3742715269</v>
      </c>
      <c r="AD143" s="10">
        <f>SUM($AC$101:AC143)</f>
        <v>64117973.621573873</v>
      </c>
      <c r="AE143" s="73">
        <f t="shared" si="38"/>
        <v>443662.01314197941</v>
      </c>
      <c r="AF143" s="73">
        <f t="shared" si="39"/>
        <v>0</v>
      </c>
      <c r="AG143" s="74">
        <f t="shared" si="40"/>
        <v>26929548.921061024</v>
      </c>
      <c r="AH143" s="10">
        <f t="shared" si="48"/>
        <v>46570457.922793567</v>
      </c>
    </row>
    <row r="144" spans="7:34">
      <c r="G144">
        <v>44</v>
      </c>
      <c r="H144" s="10">
        <f t="shared" si="45"/>
        <v>0</v>
      </c>
      <c r="I144" s="10">
        <f>SUM($H$101:H144)+M144</f>
        <v>1615132.2355598689</v>
      </c>
      <c r="J144" s="10">
        <f t="shared" si="41"/>
        <v>0</v>
      </c>
      <c r="K144" s="10">
        <f t="shared" si="42"/>
        <v>56657411.589414477</v>
      </c>
      <c r="L144" s="10">
        <f t="shared" si="29"/>
        <v>65099365.916237235</v>
      </c>
      <c r="M144" s="10">
        <f t="shared" si="30"/>
        <v>1435132.2355598689</v>
      </c>
      <c r="N144" s="10">
        <f t="shared" si="43"/>
        <v>63664233.680677369</v>
      </c>
      <c r="O144" s="7">
        <f t="shared" si="31"/>
        <v>254656.93472270947</v>
      </c>
      <c r="P144" s="10">
        <f t="shared" si="32"/>
        <v>63409576.745954663</v>
      </c>
      <c r="U144">
        <v>44</v>
      </c>
      <c r="V144" s="10">
        <f t="shared" si="33"/>
        <v>1446054.0942779812</v>
      </c>
      <c r="W144" s="10">
        <f t="shared" si="44"/>
        <v>1445364.0942779812</v>
      </c>
      <c r="X144" s="10">
        <f t="shared" si="46"/>
        <v>75389032.951274544</v>
      </c>
      <c r="Y144" s="73">
        <f t="shared" si="34"/>
        <v>3769451.6475637276</v>
      </c>
      <c r="Z144" s="73">
        <f t="shared" si="35"/>
        <v>15255.000000000002</v>
      </c>
      <c r="AA144" s="74">
        <f t="shared" si="36"/>
        <v>1559439.6919767656</v>
      </c>
      <c r="AB144" s="73">
        <f t="shared" si="37"/>
        <v>85122693.201988965</v>
      </c>
      <c r="AC144" s="10">
        <f t="shared" si="47"/>
        <v>9733660.2507144213</v>
      </c>
      <c r="AD144" s="10">
        <f>SUM($AC$101:AC144)</f>
        <v>73851633.872288287</v>
      </c>
      <c r="AE144" s="73">
        <f t="shared" si="38"/>
        <v>510736.15921193385</v>
      </c>
      <c r="AF144" s="73">
        <f t="shared" si="39"/>
        <v>0</v>
      </c>
      <c r="AG144" s="74">
        <f t="shared" si="40"/>
        <v>31017686.226361081</v>
      </c>
      <c r="AH144" s="10">
        <f t="shared" si="48"/>
        <v>53594270.816415951</v>
      </c>
    </row>
    <row r="145" spans="7:34">
      <c r="G145">
        <v>45</v>
      </c>
      <c r="H145" s="10">
        <f t="shared" si="45"/>
        <v>0</v>
      </c>
      <c r="I145" s="10">
        <f>SUM($H$101:H145)+M145</f>
        <v>1828966.9386582894</v>
      </c>
      <c r="J145" s="10">
        <f t="shared" si="41"/>
        <v>0</v>
      </c>
      <c r="K145" s="10">
        <f t="shared" si="42"/>
        <v>65099365.916237235</v>
      </c>
      <c r="L145" s="10">
        <f t="shared" si="29"/>
        <v>74799171.437756583</v>
      </c>
      <c r="M145" s="10">
        <f t="shared" si="30"/>
        <v>1648966.9386582894</v>
      </c>
      <c r="N145" s="10">
        <f t="shared" si="43"/>
        <v>73150204.499098301</v>
      </c>
      <c r="O145" s="7">
        <f t="shared" si="31"/>
        <v>292600.81799639319</v>
      </c>
      <c r="P145" s="10">
        <f t="shared" si="32"/>
        <v>72857603.681101903</v>
      </c>
      <c r="U145">
        <v>45</v>
      </c>
      <c r="V145" s="10">
        <f t="shared" si="33"/>
        <v>1661516.1543254</v>
      </c>
      <c r="W145" s="10">
        <f t="shared" si="44"/>
        <v>1660826.1543254</v>
      </c>
      <c r="X145" s="10">
        <f t="shared" si="46"/>
        <v>86783519.356314361</v>
      </c>
      <c r="Y145" s="73">
        <f t="shared" si="34"/>
        <v>4339175.9678157186</v>
      </c>
      <c r="Z145" s="73">
        <f t="shared" si="35"/>
        <v>15255.000000000002</v>
      </c>
      <c r="AA145" s="74">
        <f t="shared" si="36"/>
        <v>1798723.9064826018</v>
      </c>
      <c r="AB145" s="73">
        <f t="shared" si="37"/>
        <v>97987068.35327892</v>
      </c>
      <c r="AC145" s="10">
        <f t="shared" si="47"/>
        <v>11203548.996964559</v>
      </c>
      <c r="AD145" s="10">
        <f>SUM($AC$101:AC145)</f>
        <v>85055182.869252846</v>
      </c>
      <c r="AE145" s="73">
        <f t="shared" si="38"/>
        <v>587922.41011967359</v>
      </c>
      <c r="AF145" s="73">
        <f t="shared" si="39"/>
        <v>0</v>
      </c>
      <c r="AG145" s="74">
        <f t="shared" si="40"/>
        <v>35723176.805086195</v>
      </c>
      <c r="AH145" s="10">
        <f t="shared" si="48"/>
        <v>61675969.138073057</v>
      </c>
    </row>
    <row r="146" spans="7:34">
      <c r="G146">
        <v>46</v>
      </c>
      <c r="H146" s="10">
        <f t="shared" si="45"/>
        <v>0</v>
      </c>
      <c r="I146" s="10">
        <f>SUM($H$101:H146)+M146</f>
        <v>2074663.0125183754</v>
      </c>
      <c r="J146" s="10">
        <f t="shared" si="41"/>
        <v>0</v>
      </c>
      <c r="K146" s="10">
        <f t="shared" si="42"/>
        <v>74799171.437756583</v>
      </c>
      <c r="L146" s="10">
        <f t="shared" si="29"/>
        <v>85944247.981982321</v>
      </c>
      <c r="M146" s="10">
        <f t="shared" si="30"/>
        <v>1894663.0125183754</v>
      </c>
      <c r="N146" s="10">
        <f t="shared" si="43"/>
        <v>84049584.969463944</v>
      </c>
      <c r="O146" s="7">
        <f t="shared" si="31"/>
        <v>336198.33987785579</v>
      </c>
      <c r="P146" s="10">
        <f t="shared" si="32"/>
        <v>83713386.629586086</v>
      </c>
      <c r="U146">
        <v>46</v>
      </c>
      <c r="V146" s="10">
        <f t="shared" si="33"/>
        <v>1909082.0613198848</v>
      </c>
      <c r="W146" s="10">
        <f t="shared" si="44"/>
        <v>1908392.0613198848</v>
      </c>
      <c r="X146" s="10">
        <f t="shared" si="46"/>
        <v>99895460.414598808</v>
      </c>
      <c r="Y146" s="73">
        <f t="shared" si="34"/>
        <v>4994773.0207299404</v>
      </c>
      <c r="Z146" s="73">
        <f t="shared" si="35"/>
        <v>15255.000000000002</v>
      </c>
      <c r="AA146" s="74">
        <f t="shared" si="36"/>
        <v>2074074.6687065749</v>
      </c>
      <c r="AB146" s="73">
        <f t="shared" si="37"/>
        <v>112790449.80808206</v>
      </c>
      <c r="AC146" s="10">
        <f t="shared" si="47"/>
        <v>12894989.393483251</v>
      </c>
      <c r="AD146" s="10">
        <f>SUM($AC$101:AC146)</f>
        <v>97950172.262736097</v>
      </c>
      <c r="AE146" s="73">
        <f t="shared" si="38"/>
        <v>676742.69884849235</v>
      </c>
      <c r="AF146" s="73">
        <f t="shared" si="39"/>
        <v>0</v>
      </c>
      <c r="AG146" s="74">
        <f t="shared" si="40"/>
        <v>41139072.350349158</v>
      </c>
      <c r="AH146" s="10">
        <f t="shared" si="48"/>
        <v>70974634.758884415</v>
      </c>
    </row>
    <row r="147" spans="7:34">
      <c r="G147">
        <v>47</v>
      </c>
      <c r="H147" s="10">
        <f t="shared" si="45"/>
        <v>0</v>
      </c>
      <c r="I147" s="10">
        <f>SUM($H$101:H147)+M147</f>
        <v>2356967.8013836127</v>
      </c>
      <c r="J147" s="10">
        <f t="shared" si="41"/>
        <v>0</v>
      </c>
      <c r="K147" s="10">
        <f t="shared" si="42"/>
        <v>85944247.981982321</v>
      </c>
      <c r="L147" s="10">
        <f t="shared" si="29"/>
        <v>98749940.93129769</v>
      </c>
      <c r="M147" s="10">
        <f t="shared" si="30"/>
        <v>2176967.8013836127</v>
      </c>
      <c r="N147" s="10">
        <f t="shared" si="43"/>
        <v>96572973.129914075</v>
      </c>
      <c r="O147" s="7">
        <f t="shared" si="31"/>
        <v>386291.89251965634</v>
      </c>
      <c r="P147" s="10">
        <f t="shared" si="32"/>
        <v>96186681.237394422</v>
      </c>
      <c r="U147">
        <v>47</v>
      </c>
      <c r="V147" s="10">
        <f t="shared" si="33"/>
        <v>2193535.288456548</v>
      </c>
      <c r="W147" s="10">
        <f t="shared" si="44"/>
        <v>2192845.288456548</v>
      </c>
      <c r="X147" s="10">
        <f t="shared" si="46"/>
        <v>114983295.0965386</v>
      </c>
      <c r="Y147" s="73">
        <f t="shared" si="34"/>
        <v>5749164.7548269304</v>
      </c>
      <c r="Z147" s="73">
        <f t="shared" si="35"/>
        <v>15255.000000000002</v>
      </c>
      <c r="AA147" s="74">
        <f t="shared" si="36"/>
        <v>2390919.1970273107</v>
      </c>
      <c r="AB147" s="73">
        <f t="shared" si="37"/>
        <v>129824615.16399209</v>
      </c>
      <c r="AC147" s="10">
        <f t="shared" si="47"/>
        <v>14841320.067453489</v>
      </c>
      <c r="AD147" s="10">
        <f>SUM($AC$101:AC147)</f>
        <v>112791492.33018959</v>
      </c>
      <c r="AE147" s="73">
        <f t="shared" si="38"/>
        <v>778947.69098395249</v>
      </c>
      <c r="AF147" s="73">
        <f t="shared" si="39"/>
        <v>0</v>
      </c>
      <c r="AG147" s="74">
        <f t="shared" si="40"/>
        <v>47372426.778679624</v>
      </c>
      <c r="AH147" s="10">
        <f t="shared" si="48"/>
        <v>81673240.694328517</v>
      </c>
    </row>
    <row r="148" spans="7:34">
      <c r="G148">
        <v>48</v>
      </c>
      <c r="H148" s="10">
        <f t="shared" si="45"/>
        <v>0</v>
      </c>
      <c r="I148" s="10">
        <f>SUM($H$101:H148)+M148</f>
        <v>2681336.0037897704</v>
      </c>
      <c r="J148" s="10">
        <f t="shared" si="41"/>
        <v>0</v>
      </c>
      <c r="K148" s="10">
        <f t="shared" si="42"/>
        <v>98749940.93129769</v>
      </c>
      <c r="L148" s="10">
        <f t="shared" si="29"/>
        <v>113463682.13006105</v>
      </c>
      <c r="M148" s="10">
        <f t="shared" si="30"/>
        <v>2501336.0037897704</v>
      </c>
      <c r="N148" s="10">
        <f t="shared" si="43"/>
        <v>110962346.12627128</v>
      </c>
      <c r="O148" s="7">
        <f t="shared" si="31"/>
        <v>443849.38450508507</v>
      </c>
      <c r="P148" s="10">
        <f t="shared" si="32"/>
        <v>110518496.7417662</v>
      </c>
      <c r="U148">
        <v>48</v>
      </c>
      <c r="V148" s="10">
        <f t="shared" si="33"/>
        <v>2520372.0464365724</v>
      </c>
      <c r="W148" s="10">
        <f t="shared" si="44"/>
        <v>2519682.0464365724</v>
      </c>
      <c r="X148" s="10">
        <f t="shared" si="46"/>
        <v>132344297.21042867</v>
      </c>
      <c r="Y148" s="73">
        <f t="shared" si="34"/>
        <v>6617214.8605214339</v>
      </c>
      <c r="Z148" s="73">
        <f t="shared" si="35"/>
        <v>15255.000000000002</v>
      </c>
      <c r="AA148" s="74">
        <f t="shared" si="36"/>
        <v>2755500.2414190019</v>
      </c>
      <c r="AB148" s="73">
        <f t="shared" si="37"/>
        <v>149425186.55057397</v>
      </c>
      <c r="AC148" s="10">
        <f t="shared" si="47"/>
        <v>17080889.340145305</v>
      </c>
      <c r="AD148" s="10">
        <f>SUM($AC$101:AC148)</f>
        <v>129872381.67033489</v>
      </c>
      <c r="AE148" s="73">
        <f t="shared" si="38"/>
        <v>896551.11930344393</v>
      </c>
      <c r="AF148" s="73">
        <f t="shared" si="39"/>
        <v>0</v>
      </c>
      <c r="AG148" s="74">
        <f t="shared" si="40"/>
        <v>54546400.30154065</v>
      </c>
      <c r="AH148" s="10">
        <f t="shared" si="48"/>
        <v>93982235.129729897</v>
      </c>
    </row>
    <row r="149" spans="7:34">
      <c r="G149">
        <v>49</v>
      </c>
      <c r="H149" s="10">
        <f t="shared" si="45"/>
        <v>0</v>
      </c>
      <c r="I149" s="10">
        <f>SUM($H$101:H149)+M149</f>
        <v>3054035.0683544464</v>
      </c>
      <c r="J149" s="10">
        <f t="shared" si="41"/>
        <v>0</v>
      </c>
      <c r="K149" s="10">
        <f t="shared" si="42"/>
        <v>113463682.13006105</v>
      </c>
      <c r="L149" s="10">
        <f t="shared" si="29"/>
        <v>130369770.76744014</v>
      </c>
      <c r="M149" s="10">
        <f t="shared" si="30"/>
        <v>2874035.0683544464</v>
      </c>
      <c r="N149" s="10">
        <f t="shared" si="43"/>
        <v>127495735.6990857</v>
      </c>
      <c r="O149" s="7">
        <f t="shared" si="31"/>
        <v>509982.94279634277</v>
      </c>
      <c r="P149" s="10">
        <f t="shared" si="32"/>
        <v>126985752.75628935</v>
      </c>
      <c r="U149">
        <v>49</v>
      </c>
      <c r="V149" s="10">
        <f t="shared" si="33"/>
        <v>2895907.4813556219</v>
      </c>
      <c r="W149" s="10">
        <f t="shared" si="44"/>
        <v>2895217.4813556219</v>
      </c>
      <c r="X149" s="10">
        <f t="shared" si="46"/>
        <v>152320404.03192958</v>
      </c>
      <c r="Y149" s="73">
        <f t="shared" si="34"/>
        <v>7616020.2015964799</v>
      </c>
      <c r="Z149" s="73">
        <f t="shared" si="35"/>
        <v>15255.000000000002</v>
      </c>
      <c r="AA149" s="74">
        <f t="shared" si="36"/>
        <v>3174998.4846705212</v>
      </c>
      <c r="AB149" s="73">
        <f t="shared" si="37"/>
        <v>171978211.1520485</v>
      </c>
      <c r="AC149" s="10">
        <f t="shared" si="47"/>
        <v>19657807.120118916</v>
      </c>
      <c r="AD149" s="10">
        <f>SUM($AC$101:AC149)</f>
        <v>149530188.79045379</v>
      </c>
      <c r="AE149" s="73">
        <f t="shared" si="38"/>
        <v>1031869.2669122911</v>
      </c>
      <c r="AF149" s="73">
        <f t="shared" si="39"/>
        <v>0</v>
      </c>
      <c r="AG149" s="74">
        <f t="shared" si="40"/>
        <v>62802679.291990593</v>
      </c>
      <c r="AH149" s="10">
        <f t="shared" si="48"/>
        <v>108143662.59314562</v>
      </c>
    </row>
    <row r="150" spans="7:34">
      <c r="G150">
        <v>50</v>
      </c>
      <c r="H150" s="10">
        <f t="shared" si="45"/>
        <v>0</v>
      </c>
      <c r="I150" s="10">
        <f>SUM($H$101:H150)+M150</f>
        <v>3482266.2935392587</v>
      </c>
      <c r="J150" s="10">
        <f t="shared" si="41"/>
        <v>0</v>
      </c>
      <c r="K150" s="10">
        <f t="shared" si="42"/>
        <v>130369770.76744014</v>
      </c>
      <c r="L150" s="10">
        <f t="shared" si="29"/>
        <v>149794866.61178872</v>
      </c>
      <c r="M150" s="10">
        <f t="shared" si="30"/>
        <v>3302266.2935392587</v>
      </c>
      <c r="N150" s="10">
        <f t="shared" si="43"/>
        <v>146492600.31824946</v>
      </c>
      <c r="O150" s="7">
        <f t="shared" si="31"/>
        <v>585970.40127299796</v>
      </c>
      <c r="P150" s="10">
        <f t="shared" si="32"/>
        <v>145906629.91697645</v>
      </c>
      <c r="U150">
        <v>50</v>
      </c>
      <c r="V150" s="10">
        <f t="shared" si="33"/>
        <v>3327397.6960776113</v>
      </c>
      <c r="W150" s="10">
        <f t="shared" si="44"/>
        <v>3326707.6960776113</v>
      </c>
      <c r="X150" s="10">
        <f t="shared" si="46"/>
        <v>175304918.84812611</v>
      </c>
      <c r="Y150" s="73">
        <f t="shared" si="34"/>
        <v>8765245.942406306</v>
      </c>
      <c r="Z150" s="73">
        <f t="shared" si="35"/>
        <v>15255.000000000002</v>
      </c>
      <c r="AA150" s="74">
        <f t="shared" si="36"/>
        <v>3657673.2958106482</v>
      </c>
      <c r="AB150" s="73">
        <f t="shared" si="37"/>
        <v>197927728.37953439</v>
      </c>
      <c r="AC150" s="10">
        <f t="shared" si="47"/>
        <v>22622809.53140828</v>
      </c>
      <c r="AD150" s="10">
        <f>SUM($AC$101:AC150)</f>
        <v>172152998.32186207</v>
      </c>
      <c r="AE150" s="73">
        <f t="shared" si="38"/>
        <v>1187566.3702772064</v>
      </c>
      <c r="AF150" s="73">
        <f t="shared" si="39"/>
        <v>0</v>
      </c>
      <c r="AG150" s="74">
        <f t="shared" si="40"/>
        <v>72304259.295182064</v>
      </c>
      <c r="AH150" s="10">
        <f t="shared" si="48"/>
        <v>124435902.71407513</v>
      </c>
    </row>
    <row r="151" spans="7:34">
      <c r="G151">
        <v>51</v>
      </c>
      <c r="H151" s="10">
        <f t="shared" si="45"/>
        <v>0</v>
      </c>
      <c r="I151" s="10">
        <f>SUM($H$101:H151)+M151</f>
        <v>3974303.9712766088</v>
      </c>
      <c r="J151" s="10">
        <f t="shared" si="41"/>
        <v>0</v>
      </c>
      <c r="K151" s="10">
        <f t="shared" si="42"/>
        <v>149794866.61178872</v>
      </c>
      <c r="L151" s="10">
        <f t="shared" si="29"/>
        <v>172114301.73694524</v>
      </c>
      <c r="M151" s="10">
        <f t="shared" si="30"/>
        <v>3794303.9712766088</v>
      </c>
      <c r="N151" s="10">
        <f t="shared" si="43"/>
        <v>168319997.76566863</v>
      </c>
      <c r="O151" s="7">
        <f t="shared" si="31"/>
        <v>673279.99106267455</v>
      </c>
      <c r="P151" s="10">
        <f t="shared" si="32"/>
        <v>167646717.77460596</v>
      </c>
      <c r="U151">
        <v>51</v>
      </c>
      <c r="V151" s="10">
        <f t="shared" si="33"/>
        <v>3823179.9527931763</v>
      </c>
      <c r="W151" s="10">
        <f t="shared" si="44"/>
        <v>3822489.9527931763</v>
      </c>
      <c r="X151" s="10">
        <f t="shared" si="46"/>
        <v>201750218.33232757</v>
      </c>
      <c r="Y151" s="73">
        <f t="shared" si="34"/>
        <v>10087510.91661638</v>
      </c>
      <c r="Z151" s="73">
        <f t="shared" si="35"/>
        <v>15255.000000000002</v>
      </c>
      <c r="AA151" s="74">
        <f t="shared" si="36"/>
        <v>4213024.5849788794</v>
      </c>
      <c r="AB151" s="73">
        <f t="shared" si="37"/>
        <v>227784471.49719787</v>
      </c>
      <c r="AC151" s="10">
        <f t="shared" si="47"/>
        <v>26034253.164870292</v>
      </c>
      <c r="AD151" s="10">
        <f>SUM($AC$101:AC151)</f>
        <v>198187251.48673236</v>
      </c>
      <c r="AE151" s="73">
        <f t="shared" si="38"/>
        <v>1366706.8289831872</v>
      </c>
      <c r="AF151" s="73">
        <f t="shared" si="39"/>
        <v>0</v>
      </c>
      <c r="AG151" s="74">
        <f t="shared" si="40"/>
        <v>83238645.624427587</v>
      </c>
      <c r="AH151" s="10">
        <f t="shared" si="48"/>
        <v>143179119.04378709</v>
      </c>
    </row>
  </sheetData>
  <dataConsolidate topLabels="1">
    <dataRefs count="2">
      <dataRef ref="C27:C76" sheet="DiverseKontoer"/>
      <dataRef ref="F77" sheet="DiverseKontoer"/>
    </dataRefs>
  </dataConsolidate>
  <mergeCells count="41">
    <mergeCell ref="AE99:AH99"/>
    <mergeCell ref="H92:I92"/>
    <mergeCell ref="H97:I97"/>
    <mergeCell ref="H98:I98"/>
    <mergeCell ref="U83:W85"/>
    <mergeCell ref="V86:W86"/>
    <mergeCell ref="V87:W87"/>
    <mergeCell ref="V88:W88"/>
    <mergeCell ref="V89:W89"/>
    <mergeCell ref="V92:W92"/>
    <mergeCell ref="V97:W97"/>
    <mergeCell ref="V98:W98"/>
    <mergeCell ref="G83:I85"/>
    <mergeCell ref="H86:I86"/>
    <mergeCell ref="H87:I87"/>
    <mergeCell ref="H88:I88"/>
    <mergeCell ref="H89:I89"/>
    <mergeCell ref="H25:I25"/>
    <mergeCell ref="AE26:AH26"/>
    <mergeCell ref="H24:I24"/>
    <mergeCell ref="H13:I13"/>
    <mergeCell ref="H14:I14"/>
    <mergeCell ref="H15:I15"/>
    <mergeCell ref="H16:I16"/>
    <mergeCell ref="H19:I19"/>
    <mergeCell ref="V19:W19"/>
    <mergeCell ref="V24:W24"/>
    <mergeCell ref="V25:W25"/>
    <mergeCell ref="G10:I12"/>
    <mergeCell ref="B19:C19"/>
    <mergeCell ref="D19:E19"/>
    <mergeCell ref="U10:W12"/>
    <mergeCell ref="V13:W13"/>
    <mergeCell ref="V14:W14"/>
    <mergeCell ref="V15:W15"/>
    <mergeCell ref="V16:W16"/>
    <mergeCell ref="B25:C25"/>
    <mergeCell ref="D25:E25"/>
    <mergeCell ref="B26:C26"/>
    <mergeCell ref="D26:E26"/>
    <mergeCell ref="A6:A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Niklas Simonsen</dc:creator>
  <cp:keywords/>
  <dc:description/>
  <cp:lastModifiedBy>Niklas Simonsen</cp:lastModifiedBy>
  <cp:revision/>
  <dcterms:created xsi:type="dcterms:W3CDTF">2021-12-10T22:32:11Z</dcterms:created>
  <dcterms:modified xsi:type="dcterms:W3CDTF">2022-06-29T20:04:59Z</dcterms:modified>
  <cp:category/>
  <cp:contentStatus/>
</cp:coreProperties>
</file>